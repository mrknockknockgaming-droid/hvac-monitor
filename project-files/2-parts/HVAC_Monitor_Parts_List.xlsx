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ower Kit" sheetId="2" state="visible" r:id="rId2"/>
    <sheet name="Outdoor Node" sheetId="3" state="visible" r:id="rId3"/>
    <sheet name="Indoor Node" sheetId="4" state="visible" r:id="rId4"/>
    <sheet name="Outdoor Carrier Rev B" sheetId="5" state="visible" r:id="rId5"/>
    <sheet name="Indoor Carrier Rev B" sheetId="6" state="visible" r:id="rId6"/>
    <sheet name="Display Node" sheetId="7" state="visible" r:id="rId7"/>
    <sheet name="LoRa Radio" sheetId="8" state="visible" r:id="rId8"/>
    <sheet name="Infrastructure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;&quot;($&quot;#,##0.00\);\-"/>
    <numFmt numFmtId="165" formatCode="\$#,##0.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1"/>
    </font>
    <font>
      <name val="Arial"/>
      <charset val="1"/>
      <family val="0"/>
      <color rgb="FF0563C1"/>
      <sz val="11"/>
      <u val="single"/>
    </font>
    <font>
      <name val="Arial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EDEDED"/>
      </patternFill>
    </fill>
    <fill>
      <patternFill patternType="solid">
        <fgColor rgb="FFE4DFE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4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165" fontId="9" fillId="0" borderId="0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top"/>
    </xf>
    <xf numFmtId="0" fontId="7" fillId="5" borderId="2" applyAlignment="1" pivotButton="0" quotePrefix="0" xfId="0">
      <alignment horizontal="general" vertical="top"/>
    </xf>
    <xf numFmtId="0" fontId="7" fillId="6" borderId="2" applyAlignment="1" pivotButton="0" quotePrefix="0" xfId="0">
      <alignment horizontal="general" vertical="top"/>
    </xf>
    <xf numFmtId="0" fontId="7" fillId="7" borderId="2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4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top"/>
    </xf>
    <xf numFmtId="0" fontId="7" fillId="5" borderId="2" applyAlignment="1" pivotButton="0" quotePrefix="0" xfId="0">
      <alignment horizontal="general" vertical="top"/>
    </xf>
    <xf numFmtId="0" fontId="7" fillId="6" borderId="2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8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general" vertical="top"/>
    </xf>
    <xf numFmtId="0" fontId="7" fillId="10" borderId="2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digikey.com/en/products/result?keywords=inline+fuse+holder+5x20mm" TargetMode="External" Id="rId1" /><Relationship Type="http://schemas.openxmlformats.org/officeDocument/2006/relationships/hyperlink" Target="https://www.digikey.com/en/products/result?keywords=0.5A+fast+blow+fuse+5x20" TargetMode="External" Id="rId2" /><Relationship Type="http://schemas.openxmlformats.org/officeDocument/2006/relationships/hyperlink" Target="https://www.digikey.com/en/products/result?keywords=SMBJ48CA" TargetMode="External" Id="rId3" /><Relationship Type="http://schemas.openxmlformats.org/officeDocument/2006/relationships/hyperlink" Target="https://www.digikey.com/en/products/result?keywords=1N4007" TargetMode="External" Id="rId4" /><Relationship Type="http://schemas.openxmlformats.org/officeDocument/2006/relationships/hyperlink" Target="https://www.digikey.com/en/products/result?keywords=470uF+63V+electrolytic" TargetMode="External" Id="rId5" /><Relationship Type="http://schemas.openxmlformats.org/officeDocument/2006/relationships/hyperlink" Target="https://www.digikey.com/en/products/result?keywords=0.1uF+100V+ceramic+capacitor" TargetMode="External" Id="rId6" /><Relationship Type="http://schemas.openxmlformats.org/officeDocument/2006/relationships/hyperlink" Target="https://www.amazon.com/s?k=LM2596HV+buck+converter+module" TargetMode="External" Id="rId7" /><Relationship Type="http://schemas.openxmlformats.org/officeDocument/2006/relationships/hyperlink" Target="https://www.digikey.com/en/products/result?keywords=2+position+pluggable+terminal+block+5.08mm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com/s?k=ESP32-WROOM-32U+dev+board" TargetMode="External" Id="rId1" /><Relationship Type="http://schemas.openxmlformats.org/officeDocument/2006/relationships/hyperlink" Target="https://www.amazon.com/s?k=2.4GHz+antenna+u.FL+RP-SMA+pigtail" TargetMode="External" Id="rId2" /><Relationship Type="http://schemas.openxmlformats.org/officeDocument/2006/relationships/hyperlink" Target="https://www.amazon.com/s?k=ADS1115+module" TargetMode="External" Id="rId3" /><Relationship Type="http://schemas.openxmlformats.org/officeDocument/2006/relationships/hyperlink" Target="https://www.digikey.com/en/products/result?keywords=H11AA1" TargetMode="External" Id="rId4" /><Relationship Type="http://schemas.openxmlformats.org/officeDocument/2006/relationships/hyperlink" Target="https://www.digikey.com/en/products/result?keywords=4.7k+1%2F2W+resistor" TargetMode="External" Id="rId5" /><Relationship Type="http://schemas.openxmlformats.org/officeDocument/2006/relationships/hyperlink" Target="https://www.digikey.com/en/products/result?keywords=10k+1%2F4W+resistor" TargetMode="External" Id="rId6" /><Relationship Type="http://schemas.openxmlformats.org/officeDocument/2006/relationships/hyperlink" Target="https://www.amazon.com/s?k=XDB307-3+0.5-4.5V+7%2F16-20UNF+0-50bar" TargetMode="External" Id="rId7" /><Relationship Type="http://schemas.openxmlformats.org/officeDocument/2006/relationships/hyperlink" Target="https://www.amazon.com/s?k=XDB307-3+0.5-4.5V+7%2F16-20UNF+0-35bar" TargetMode="External" Id="rId8" /><Relationship Type="http://schemas.openxmlformats.org/officeDocument/2006/relationships/hyperlink" Target="https://www.amazon.com/s?k=10k+NTC+strap+on+pipe+temperature+sensor+HVAC" TargetMode="External" Id="rId9" /><Relationship Type="http://schemas.openxmlformats.org/officeDocument/2006/relationships/hyperlink" Target="https://www.amazon.com/s?k=10k+NTC+strap+on+pipe+temperature+sensor+HVAC" TargetMode="External" Id="rId10" /><Relationship Type="http://schemas.openxmlformats.org/officeDocument/2006/relationships/hyperlink" Target="https://www.amazon.com/s?k=high+temperature+10k+NTC+pipe+sensor+150C" TargetMode="External" Id="rId11" /><Relationship Type="http://schemas.openxmlformats.org/officeDocument/2006/relationships/hyperlink" Target="https://www.digikey.com/en/products/result?keywords=10k+1%25+metal+film+resistor" TargetMode="External" Id="rId12" /><Relationship Type="http://schemas.openxmlformats.org/officeDocument/2006/relationships/hyperlink" Target="https://www.digikey.com/en/products/result?keywords=20k+1%25+metal+film+resistor" TargetMode="External" Id="rId13" /><Relationship Type="http://schemas.openxmlformats.org/officeDocument/2006/relationships/hyperlink" Target="https://www.digikey.com/en/products/result?keywords=15k+1%25+metal+film+resistor" TargetMode="External" Id="rId14" /><Relationship Type="http://schemas.openxmlformats.org/officeDocument/2006/relationships/hyperlink" Target="https://www.digikey.com/en/products/result?keywords=10k+0.1%25+resistor" TargetMode="External" Id="rId15" /><Relationship Type="http://schemas.openxmlformats.org/officeDocument/2006/relationships/hyperlink" Target="https://www.digikey.com/en/products/result?keywords=0.1uF+50V+ceramic+capacitor" TargetMode="External" Id="rId16" /><Relationship Type="http://schemas.openxmlformats.org/officeDocument/2006/relationships/hyperlink" Target="https://www.amazon.com/s?k=SHT45+PTFE+membrane+sensor" TargetMode="External" Id="rId17" /><Relationship Type="http://schemas.openxmlformats.org/officeDocument/2006/relationships/hyperlink" Target="https://www.amazon.com/s?k=solar+radiation+shield+temperature+sensor" TargetMode="External" Id="rId18" /><Relationship Type="http://schemas.openxmlformats.org/officeDocument/2006/relationships/hyperlink" Target="https://www.google.com/search?q=braze+on+access+valve+1%2F4+SAE" TargetMode="External" Id="rId19" /><Relationship Type="http://schemas.openxmlformats.org/officeDocument/2006/relationships/hyperlink" Target="https://www.amazon.com/s?k=1%2F4+flare+copper+gasket+HVAC" TargetMode="External" Id="rId20" /><Relationship Type="http://schemas.openxmlformats.org/officeDocument/2006/relationships/hyperlink" Target="https://www.amazon.com/s?k=1%2F4+flare+hose+12+inch+HVAC" TargetMode="External" Id="rId21" /><Relationship Type="http://schemas.openxmlformats.org/officeDocument/2006/relationships/hyperlink" Target="https://www.amazon.com/s?k=schrader+valve+core+cap+kit+HVAC" TargetMode="External" Id="rId22" /><Relationship Type="http://schemas.openxmlformats.org/officeDocument/2006/relationships/hyperlink" Target="https://www.amazon.com/s?k=IP65+ABS+enclosure+200x150x75" TargetMode="External" Id="rId23" /><Relationship Type="http://schemas.openxmlformats.org/officeDocument/2006/relationships/hyperlink" Target="https://www.amazon.com/s?k=PG7+PG9+cable+gland+assortment" TargetMode="External" Id="rId24" /><Relationship Type="http://schemas.openxmlformats.org/officeDocument/2006/relationships/hyperlink" Target="https://www.amazon.com/s?k=prototype+PCB+perfboard" TargetMode="External" Id="rId25" /><Relationship Type="http://schemas.openxmlformats.org/officeDocument/2006/relationships/hyperlink" Target="https://www.amazon.com/s?k=pluggable+terminal+block+5.08mm+assortment" TargetMode="External" Id="rId26" /><Relationship Type="http://schemas.openxmlformats.org/officeDocument/2006/relationships/hyperlink" Target="https://www.amazon.com/s?k=22+AWG+shielded+3+conductor+cable+50ft" TargetMode="External" Id="rId27" /><Relationship Type="http://schemas.openxmlformats.org/officeDocument/2006/relationships/hyperlink" Target="https://www.amazon.com/s?k=18%2F5+thermostat+wire+50ft" TargetMode="External" Id="rId28" /><Relationship Type="http://schemas.openxmlformats.org/officeDocument/2006/relationships/hyperlink" Target="https://www.amazon.com/s?k=foam+pipe+insulation+tape" TargetMode="External" Id="rId29" /><Relationship Type="http://schemas.openxmlformats.org/officeDocument/2006/relationships/hyperlink" Target="https://www.amazon.com/s?k=UV+resistant+zip+ties" TargetMode="External" Id="rId30" /><Relationship Type="http://schemas.openxmlformats.org/officeDocument/2006/relationships/hyperlink" Target="https://www.google.com/search?q=CircuitSetup+ATM90E32+energy+meter" TargetMode="External" Id="rId31" /><Relationship Type="http://schemas.openxmlformats.org/officeDocument/2006/relationships/hyperlink" Target="https://www.amazon.com/s?k=split+core+current+transformer+SCT-013" TargetMode="External" Id="rId32" /><Relationship Type="http://schemas.openxmlformats.org/officeDocument/2006/relationships/hyperlink" Target="https://www.digikey.com/en/products/result?keywords=AMC1311" TargetMode="External" Id="rId33" /><Relationship Type="http://schemas.openxmlformats.org/officeDocument/2006/relationships/hyperlink" Target="https://www.digikey.com/en/products/result?keywords=high+voltage+resistor+1W" TargetMode="External" Id="rId34" /><Relationship Type="http://schemas.openxmlformats.org/officeDocument/2006/relationships/hyperlink" Target="https://www.amazon.com/s?k=9VAC+wall+transformer" TargetMode="External" Id="rId35" /><Relationship Type="http://schemas.openxmlformats.org/officeDocument/2006/relationships/hyperlink" Target="https://www.amazon.com/s?k=fused+test+leads+600V+spade" TargetMode="External" Id="rId3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s?k=ESP32-WROOM-32U+dev+board" TargetMode="External" Id="rId1" /><Relationship Type="http://schemas.openxmlformats.org/officeDocument/2006/relationships/hyperlink" Target="https://www.amazon.com/s?k=2.4GHz+antenna+u.FL+RP-SMA+pigtail" TargetMode="External" Id="rId2" /><Relationship Type="http://schemas.openxmlformats.org/officeDocument/2006/relationships/hyperlink" Target="https://www.amazon.com/s?k=TCA9548A+I2C+multiplexer" TargetMode="External" Id="rId3" /><Relationship Type="http://schemas.openxmlformats.org/officeDocument/2006/relationships/hyperlink" Target="https://www.digikey.com/en/products/result?keywords=H11AA1" TargetMode="External" Id="rId4" /><Relationship Type="http://schemas.openxmlformats.org/officeDocument/2006/relationships/hyperlink" Target="https://www.digikey.com/en/products/result?keywords=4.7k+1%2F2W+resistor" TargetMode="External" Id="rId5" /><Relationship Type="http://schemas.openxmlformats.org/officeDocument/2006/relationships/hyperlink" Target="https://www.digikey.com/en/products/result?keywords=10k+1%2F4W+resistor" TargetMode="External" Id="rId6" /><Relationship Type="http://schemas.openxmlformats.org/officeDocument/2006/relationships/hyperlink" Target="https://www.amazon.com/s?k=PCA9615+differential+I2C" TargetMode="External" Id="rId7" /><Relationship Type="http://schemas.openxmlformats.org/officeDocument/2006/relationships/hyperlink" Target="https://www.amazon.com/s?k=SHT45+probe+PTFE+waterproof" TargetMode="External" Id="rId8" /><Relationship Type="http://schemas.openxmlformats.org/officeDocument/2006/relationships/hyperlink" Target="https://www.digikey.com/en/products/result?keywords=SDP810-500Pa" TargetMode="External" Id="rId9" /><Relationship Type="http://schemas.openxmlformats.org/officeDocument/2006/relationships/hyperlink" Target="https://www.google.com/search?q=Dwyer+A-301+static+pressure+tip" TargetMode="External" Id="rId10" /><Relationship Type="http://schemas.openxmlformats.org/officeDocument/2006/relationships/hyperlink" Target="https://www.amazon.com/s?k=rubber+grommet+assortment" TargetMode="External" Id="rId11" /><Relationship Type="http://schemas.openxmlformats.org/officeDocument/2006/relationships/hyperlink" Target="https://www.amazon.com/s?k=3%2F16+ID+silicone+tubing+10ft" TargetMode="External" Id="rId12" /><Relationship Type="http://schemas.openxmlformats.org/officeDocument/2006/relationships/hyperlink" Target="https://www.digikey.com/en/products/result?keywords=SDP810-500Pa" TargetMode="External" Id="rId13" /><Relationship Type="http://schemas.openxmlformats.org/officeDocument/2006/relationships/hyperlink" Target="https://www.google.com/search?q=Dwyer+A-301+static+pressure+tip" TargetMode="External" Id="rId14" /><Relationship Type="http://schemas.openxmlformats.org/officeDocument/2006/relationships/hyperlink" Target="https://www.amazon.com/s?k=ABS+project+box+enclosure" TargetMode="External" Id="rId15" /><Relationship Type="http://schemas.openxmlformats.org/officeDocument/2006/relationships/hyperlink" Target="https://www.amazon.com/s?k=22+AWG+shielded+4+conductor+cable+50ft" TargetMode="External" Id="rId16" /><Relationship Type="http://schemas.openxmlformats.org/officeDocument/2006/relationships/hyperlink" Target="https://www.amazon.com/s?k=18%2F5+thermostat+wire+50ft" TargetMode="External" Id="rId17" /><Relationship Type="http://schemas.openxmlformats.org/officeDocument/2006/relationships/hyperlink" Target="https://www.amazon.com/s?k=cable+gland+terminal+block+perfboard+kit" TargetMode="External" Id="rId18" /><Relationship Type="http://schemas.openxmlformats.org/officeDocument/2006/relationships/hyperlink" Target="https://www.google.com/search?q=CircuitSetup+ATM90E32+energy+meter" TargetMode="External" Id="rId19" /><Relationship Type="http://schemas.openxmlformats.org/officeDocument/2006/relationships/hyperlink" Target="https://www.amazon.com/s?k=split+core+current+transformer+SCT-013" TargetMode="External" Id="rId20" /><Relationship Type="http://schemas.openxmlformats.org/officeDocument/2006/relationships/hyperlink" Target="https://www.digikey.com/en/products/result?keywords=AMC1311" TargetMode="External" Id="rId21" /><Relationship Type="http://schemas.openxmlformats.org/officeDocument/2006/relationships/hyperlink" Target="https://www.amazon.com/s?k=9VAC+wall+transformer" TargetMode="External" Id="rId22" /></Relationships>
</file>

<file path=xl/worksheets/_rels/sheet5.xml.rels><Relationships xmlns="http://schemas.openxmlformats.org/package/2006/relationships"><Relationship Type="http://schemas.openxmlformats.org/officeDocument/2006/relationships/hyperlink" Target="https://jlcpcb.com/" TargetMode="External" Id="rId1" /><Relationship Type="http://schemas.openxmlformats.org/officeDocument/2006/relationships/hyperlink" Target="https://www.amazon.com/s?k=ESP32+DevKit+30+pin+WROOM-32" TargetMode="External" Id="rId2" /><Relationship Type="http://schemas.openxmlformats.org/officeDocument/2006/relationships/hyperlink" Target="https://www.amazon.com/s?k=LM2596HV+buck+converter+module" TargetMode="External" Id="rId3" /><Relationship Type="http://schemas.openxmlformats.org/officeDocument/2006/relationships/hyperlink" Target="https://www.amazon.com/s?k=ADS1115+module" TargetMode="External" Id="rId4" /><Relationship Type="http://schemas.openxmlformats.org/officeDocument/2006/relationships/hyperlink" Target="https://www.seeedstudio.com/catalogsearch/result/?q=Wio-SX1262" TargetMode="External" Id="rId5" /><Relationship Type="http://schemas.openxmlformats.org/officeDocument/2006/relationships/hyperlink" Target="https://www.digikey.com/en/products/result?keywords=H11AA1" TargetMode="External" Id="rId6" /><Relationship Type="http://schemas.openxmlformats.org/officeDocument/2006/relationships/hyperlink" Target="https://www.digikey.com/en/products/result?keywords=female+header+1x15+2.54mm" TargetMode="External" Id="rId7" /><Relationship Type="http://schemas.openxmlformats.org/officeDocument/2006/relationships/hyperlink" Target="https://www.digikey.com/en/products/result?keywords=female+header+1x10+2.54mm" TargetMode="External" Id="rId8" /><Relationship Type="http://schemas.openxmlformats.org/officeDocument/2006/relationships/hyperlink" Target="https://www.digikey.com/en/products/result?keywords=female+header+1x1+2.54mm" TargetMode="External" Id="rId9" /><Relationship Type="http://schemas.openxmlformats.org/officeDocument/2006/relationships/hyperlink" Target="https://www.digikey.com/en/products/result?keywords=DIP-6+IC+socket" TargetMode="External" Id="rId10" /><Relationship Type="http://schemas.openxmlformats.org/officeDocument/2006/relationships/hyperlink" Target="https://www.digikey.com/en/products/result?keywords=Littelfuse+111+fuse+clip+5x20" TargetMode="External" Id="rId11" /><Relationship Type="http://schemas.openxmlformats.org/officeDocument/2006/relationships/hyperlink" Target="https://www.digikey.com/en/products/result?keywords=0.5A+fast+5x20mm+fuse" TargetMode="External" Id="rId12" /><Relationship Type="http://schemas.openxmlformats.org/officeDocument/2006/relationships/hyperlink" Target="https://www.digikey.com/en/products/result?keywords=SMBJ48CA" TargetMode="External" Id="rId13" /><Relationship Type="http://schemas.openxmlformats.org/officeDocument/2006/relationships/hyperlink" Target="https://www.digikey.com/en/products/result?keywords=1N4007" TargetMode="External" Id="rId14" /><Relationship Type="http://schemas.openxmlformats.org/officeDocument/2006/relationships/hyperlink" Target="https://www.digikey.com/en/products/result?keywords=470uF+63V+radial" TargetMode="External" Id="rId15" /><Relationship Type="http://schemas.openxmlformats.org/officeDocument/2006/relationships/hyperlink" Target="https://www.digikey.com/en/products/result?keywords=AMS1117-3.3" TargetMode="External" Id="rId16" /><Relationship Type="http://schemas.openxmlformats.org/officeDocument/2006/relationships/hyperlink" Target="https://www.digikey.com/en/products/result?keywords=10uF+16V+radial+5mm" TargetMode="External" Id="rId17" /><Relationship Type="http://schemas.openxmlformats.org/officeDocument/2006/relationships/hyperlink" Target="https://www.digikey.com/en/products/result?keywords=22uF+10V+radial+5mm" TargetMode="External" Id="rId18" /><Relationship Type="http://schemas.openxmlformats.org/officeDocument/2006/relationships/hyperlink" Target="https://www.digikey.com/en/products/result?keywords=6x6mm+tactile+switch+5mm+THT" TargetMode="External" Id="rId19" /><Relationship Type="http://schemas.openxmlformats.org/officeDocument/2006/relationships/hyperlink" Target="https://www.digikey.com/en/products/result?keywords=0.1uF+50V+ceramic+disc" TargetMode="External" Id="rId20" /><Relationship Type="http://schemas.openxmlformats.org/officeDocument/2006/relationships/hyperlink" Target="https://www.digikey.com/en/products/result?keywords=10k+1%25+1%2F4W+metal+film" TargetMode="External" Id="rId21" /><Relationship Type="http://schemas.openxmlformats.org/officeDocument/2006/relationships/hyperlink" Target="https://www.digikey.com/en/products/result?keywords=10k+0.1%25+resistor" TargetMode="External" Id="rId22" /><Relationship Type="http://schemas.openxmlformats.org/officeDocument/2006/relationships/hyperlink" Target="https://www.digikey.com/en/products/result?keywords=4.7k+1%2F2W+resistor" TargetMode="External" Id="rId23" /><Relationship Type="http://schemas.openxmlformats.org/officeDocument/2006/relationships/hyperlink" Target="https://www.digikey.com/en/products/result?keywords=10k+1%2F4W+resistor" TargetMode="External" Id="rId24" /><Relationship Type="http://schemas.openxmlformats.org/officeDocument/2006/relationships/hyperlink" Target="https://www.digikey.com/en/products/result?keywords=SJ1-3523N" TargetMode="External" Id="rId25" /><Relationship Type="http://schemas.openxmlformats.org/officeDocument/2006/relationships/hyperlink" Target="https://www.digikey.com/en/products/result?keywords=10k+1%25+0805" TargetMode="External" Id="rId26" /><Relationship Type="http://schemas.openxmlformats.org/officeDocument/2006/relationships/hyperlink" Target="https://www.digikey.com/en/products/result?keywords=6.8k+1%25+0805" TargetMode="External" Id="rId27" /><Relationship Type="http://schemas.openxmlformats.org/officeDocument/2006/relationships/hyperlink" Target="https://www.digikey.com/en/products/result?keywords=18+ohm+1%25+0805" TargetMode="External" Id="rId28" /><Relationship Type="http://schemas.openxmlformats.org/officeDocument/2006/relationships/hyperlink" Target="https://www.digikey.com/en/products/result?keywords=1k+0805+resistor" TargetMode="External" Id="rId29" /><Relationship Type="http://schemas.openxmlformats.org/officeDocument/2006/relationships/hyperlink" Target="https://www.digikey.com/en/products/result?keywords=10nF+0805+capacitor" TargetMode="External" Id="rId30" /><Relationship Type="http://schemas.openxmlformats.org/officeDocument/2006/relationships/hyperlink" Target="https://www.amazon.com/s?k=SCT-013-000" TargetMode="External" Id="rId31" /><Relationship Type="http://schemas.openxmlformats.org/officeDocument/2006/relationships/hyperlink" Target="https://www.amazon.com/s?k=SCT-013-005" TargetMode="External" Id="rId32" /><Relationship Type="http://schemas.openxmlformats.org/officeDocument/2006/relationships/hyperlink" Target="https://www.amazon.com/s?k=SCT-013-010" TargetMode="External" Id="rId33" /><Relationship Type="http://schemas.openxmlformats.org/officeDocument/2006/relationships/hyperlink" Target="https://www.digikey.com/en/products/result?keywords=MC+1%2C5%2F2-G-5%2C08" TargetMode="External" Id="rId34" /><Relationship Type="http://schemas.openxmlformats.org/officeDocument/2006/relationships/hyperlink" Target="https://www.digikey.com/en/products/result?keywords=MC+1%2C5%2F2-ST-5%2C08" TargetMode="External" Id="rId35" /><Relationship Type="http://schemas.openxmlformats.org/officeDocument/2006/relationships/hyperlink" Target="https://www.digikey.com/en/products/result?keywords=MC+1%2C5%2F4-G-5%2C08" TargetMode="External" Id="rId36" /><Relationship Type="http://schemas.openxmlformats.org/officeDocument/2006/relationships/hyperlink" Target="https://www.digikey.com/en/products/result?keywords=MC+1%2C5%2F4-ST-5%2C08" TargetMode="External" Id="rId37" /><Relationship Type="http://schemas.openxmlformats.org/officeDocument/2006/relationships/hyperlink" Target="https://www.digikey.com/en/products/result?keywords=B3B-XH-A" TargetMode="External" Id="rId38" /><Relationship Type="http://schemas.openxmlformats.org/officeDocument/2006/relationships/hyperlink" Target="https://www.digikey.com/en/products/result?keywords=B2B-XH-A" TargetMode="External" Id="rId39" /><Relationship Type="http://schemas.openxmlformats.org/officeDocument/2006/relationships/hyperlink" Target="https://www.digikey.com/en/products/result?keywords=XHP-3" TargetMode="External" Id="rId40" /><Relationship Type="http://schemas.openxmlformats.org/officeDocument/2006/relationships/hyperlink" Target="https://www.digikey.com/en/products/result?keywords=XHP-2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jlcpcb.com/" TargetMode="External" Id="rId1" /><Relationship Type="http://schemas.openxmlformats.org/officeDocument/2006/relationships/hyperlink" Target="https://www.amazon.com/s?k=ESP32+DevKit+30+pin+WROOM-32" TargetMode="External" Id="rId2" /><Relationship Type="http://schemas.openxmlformats.org/officeDocument/2006/relationships/hyperlink" Target="https://www.amazon.com/s?k=LM2596HV+buck+converter+module" TargetMode="External" Id="rId3" /><Relationship Type="http://schemas.openxmlformats.org/officeDocument/2006/relationships/hyperlink" Target="https://www.seeedstudio.com/catalogsearch/result/?q=Wio-SX1262" TargetMode="External" Id="rId4" /><Relationship Type="http://schemas.openxmlformats.org/officeDocument/2006/relationships/hyperlink" Target="https://www.digikey.com/en/products/result?keywords=TCA9548APWR" TargetMode="External" Id="rId5" /><Relationship Type="http://schemas.openxmlformats.org/officeDocument/2006/relationships/hyperlink" Target="https://www.digikey.com/en/products/result?keywords=H11AA1" TargetMode="External" Id="rId6" /><Relationship Type="http://schemas.openxmlformats.org/officeDocument/2006/relationships/hyperlink" Target="https://www.digikey.com/en/products/result?keywords=female+header+1x15+2.54mm" TargetMode="External" Id="rId7" /><Relationship Type="http://schemas.openxmlformats.org/officeDocument/2006/relationships/hyperlink" Target="https://www.digikey.com/en/products/result?keywords=female+header+1x1+2.54mm" TargetMode="External" Id="rId8" /><Relationship Type="http://schemas.openxmlformats.org/officeDocument/2006/relationships/hyperlink" Target="https://www.digikey.com/en/products/result?keywords=DIP-6+IC+socket" TargetMode="External" Id="rId9" /><Relationship Type="http://schemas.openxmlformats.org/officeDocument/2006/relationships/hyperlink" Target="https://www.digikey.com/en/products/result?keywords=Littelfuse+111+fuse+clip+5x20" TargetMode="External" Id="rId10" /><Relationship Type="http://schemas.openxmlformats.org/officeDocument/2006/relationships/hyperlink" Target="https://www.digikey.com/en/products/result?keywords=0.5A+fast+5x20mm+fuse" TargetMode="External" Id="rId11" /><Relationship Type="http://schemas.openxmlformats.org/officeDocument/2006/relationships/hyperlink" Target="https://www.digikey.com/en/products/result?keywords=SMBJ48CA" TargetMode="External" Id="rId12" /><Relationship Type="http://schemas.openxmlformats.org/officeDocument/2006/relationships/hyperlink" Target="https://www.digikey.com/en/products/result?keywords=1N4007" TargetMode="External" Id="rId13" /><Relationship Type="http://schemas.openxmlformats.org/officeDocument/2006/relationships/hyperlink" Target="https://www.digikey.com/en/products/result?keywords=470uF+63V+radial" TargetMode="External" Id="rId14" /><Relationship Type="http://schemas.openxmlformats.org/officeDocument/2006/relationships/hyperlink" Target="https://www.digikey.com/en/products/result?keywords=AMS1117-3.3" TargetMode="External" Id="rId15" /><Relationship Type="http://schemas.openxmlformats.org/officeDocument/2006/relationships/hyperlink" Target="https://www.digikey.com/en/products/result?keywords=10uF+16V+radial+5mm" TargetMode="External" Id="rId16" /><Relationship Type="http://schemas.openxmlformats.org/officeDocument/2006/relationships/hyperlink" Target="https://www.digikey.com/en/products/result?keywords=22uF+10V+radial+5mm" TargetMode="External" Id="rId17" /><Relationship Type="http://schemas.openxmlformats.org/officeDocument/2006/relationships/hyperlink" Target="https://www.digikey.com/en/products/result?keywords=6x6mm+tactile+switch+5mm+THT" TargetMode="External" Id="rId18" /><Relationship Type="http://schemas.openxmlformats.org/officeDocument/2006/relationships/hyperlink" Target="https://www.digikey.com/en/products/result?keywords=0.1uF+50V+ceramic+disc" TargetMode="External" Id="rId19" /><Relationship Type="http://schemas.openxmlformats.org/officeDocument/2006/relationships/hyperlink" Target="https://www.digikey.com/en/products/result?keywords=0.1uF+0805+capacitor" TargetMode="External" Id="rId20" /><Relationship Type="http://schemas.openxmlformats.org/officeDocument/2006/relationships/hyperlink" Target="https://www.digikey.com/en/products/result?keywords=4.7k+1%2F4W+resistor" TargetMode="External" Id="rId21" /><Relationship Type="http://schemas.openxmlformats.org/officeDocument/2006/relationships/hyperlink" Target="https://www.digikey.com/en/products/result?keywords=4.7k+1%2F2W+resistor" TargetMode="External" Id="rId22" /><Relationship Type="http://schemas.openxmlformats.org/officeDocument/2006/relationships/hyperlink" Target="https://www.digikey.com/en/products/result?keywords=10k+1%2F4W+resistor" TargetMode="External" Id="rId23" /><Relationship Type="http://schemas.openxmlformats.org/officeDocument/2006/relationships/hyperlink" Target="https://www.digikey.com/en/products/result?keywords=10k+0805+resistor" TargetMode="External" Id="rId24" /><Relationship Type="http://schemas.openxmlformats.org/officeDocument/2006/relationships/hyperlink" Target="https://www.digikey.com/en/products/result?keywords=MC+1%2C5%2F2-G-5%2C08" TargetMode="External" Id="rId25" /><Relationship Type="http://schemas.openxmlformats.org/officeDocument/2006/relationships/hyperlink" Target="https://www.digikey.com/en/products/result?keywords=MC+1%2C5%2F2-ST-5%2C08" TargetMode="External" Id="rId26" /><Relationship Type="http://schemas.openxmlformats.org/officeDocument/2006/relationships/hyperlink" Target="https://www.digikey.com/en/products/result?keywords=MC+1%2C5%2F4-G-5%2C08" TargetMode="External" Id="rId27" /><Relationship Type="http://schemas.openxmlformats.org/officeDocument/2006/relationships/hyperlink" Target="https://www.digikey.com/en/products/result?keywords=MC+1%2C5%2F4-ST-5%2C08" TargetMode="External" Id="rId28" /><Relationship Type="http://schemas.openxmlformats.org/officeDocument/2006/relationships/hyperlink" Target="https://www.digikey.com/en/products/result?keywords=B3B-XH-A" TargetMode="External" Id="rId29" /><Relationship Type="http://schemas.openxmlformats.org/officeDocument/2006/relationships/hyperlink" Target="https://www.digikey.com/en/products/result?keywords=B4B-XH-A" TargetMode="External" Id="rId30" /><Relationship Type="http://schemas.openxmlformats.org/officeDocument/2006/relationships/hyperlink" Target="https://www.digikey.com/en/products/result?keywords=XHP-3" TargetMode="External" Id="rId31" /><Relationship Type="http://schemas.openxmlformats.org/officeDocument/2006/relationships/hyperlink" Target="https://www.digikey.com/en/products/result?keywords=XHP-4" TargetMode="External" Id="rId32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amazon.com/s?k=Waveshare+ESP32-S3+4.3+touch+LCD" TargetMode="External" Id="rId1" /><Relationship Type="http://schemas.openxmlformats.org/officeDocument/2006/relationships/hyperlink" Target="https://www.amazon.com/s?k=Venstar+Add-a-Wire" TargetMode="External" Id="rId2" /><Relationship Type="http://schemas.openxmlformats.org/officeDocument/2006/relationships/hyperlink" Target="https://www.amazon.com/s?k=SHT45+sensor+breakout" TargetMode="External" Id="rId3" /><Relationship Type="http://schemas.openxmlformats.org/officeDocument/2006/relationships/hyperlink" Target="https://www.amazon.com/s?k=piezo+buzzer+3.3V" TargetMode="External" Id="rId4" /><Relationship Type="http://schemas.openxmlformats.org/officeDocument/2006/relationships/hyperlink" Target="https://www.digikey.com/en/products/result?keywords=AQV252G" TargetMode="External" Id="rId5" /><Relationship Type="http://schemas.openxmlformats.org/officeDocument/2006/relationships/hyperlink" Target="https://www.digikey.com/en/products/result?keywords=SMBJ36CA" TargetMode="External" Id="rId6" /><Relationship Type="http://schemas.openxmlformats.org/officeDocument/2006/relationships/hyperlink" Target="https://www.digikey.com/en/products/result?keywords=330+ohm+resistor+1%2F4W" TargetMode="External" Id="rId7" /><Relationship Type="http://schemas.openxmlformats.org/officeDocument/2006/relationships/hyperlink" Target="https://www.digikey.com/en/products/result?keywords=MCP23017" TargetMode="External" Id="rId8" /><Relationship Type="http://schemas.openxmlformats.org/officeDocument/2006/relationships/hyperlink" Target="https://www.digikey.com/en/products/result?keywords=TPS3823-33" TargetMode="External" Id="rId9" /><Relationship Type="http://schemas.openxmlformats.org/officeDocument/2006/relationships/hyperlink" Target="https://www.digikey.com/en/products/result?keywords=H11AA1" TargetMode="External" Id="rId10" /><Relationship Type="http://schemas.openxmlformats.org/officeDocument/2006/relationships/hyperlink" Target="https://www.digikey.com/en/products/result?keywords=4.7k+ohm+1%2F2W+resistor" TargetMode="External" Id="rId11" /><Relationship Type="http://schemas.openxmlformats.org/officeDocument/2006/relationships/hyperlink" Target="https://www.digikey.com/en/products/result?keywords=10k+ohm+resistor" TargetMode="External" Id="rId12" /><Relationship Type="http://schemas.openxmlformats.org/officeDocument/2006/relationships/hyperlink" Target="https://www.amazon.com/s?k=SHT45+breakout" TargetMode="External" Id="rId13" /><Relationship Type="http://schemas.openxmlformats.org/officeDocument/2006/relationships/hyperlink" Target="https://www.digikey.com/en/products/result?keywords=8+position+pluggable+terminal+block+5.08mm" TargetMode="External" Id="rId14" /><Relationship Type="http://schemas.openxmlformats.org/officeDocument/2006/relationships/hyperlink" Target="https://jlcpcb.com/" TargetMode="External" Id="rId15" /><Relationship Type="http://schemas.openxmlformats.org/officeDocument/2006/relationships/hyperlink" Target="https://www.amazon.com/s?k=JST+SH+1.0mm+jumper+cable+kit" TargetMode="External" Id="rId16" /></Relationships>
</file>

<file path=xl/worksheets/_rels/sheet8.xml.rels><Relationships xmlns="http://schemas.openxmlformats.org/package/2006/relationships"><Relationship Type="http://schemas.openxmlformats.org/officeDocument/2006/relationships/hyperlink" Target="https://heltec.org/?s=WiFi+LoRa+32+V3" TargetMode="External" Id="rId1" /><Relationship Type="http://schemas.openxmlformats.org/officeDocument/2006/relationships/hyperlink" Target="https://www.amazon.com/s?k=915MHz+antenna+SMA+u.FL+pigtail" TargetMode="External" Id="rId2" /><Relationship Type="http://schemas.openxmlformats.org/officeDocument/2006/relationships/hyperlink" Target="https://www.amazon.com/s?k=USB+C+power+bank" TargetMode="External" Id="rId3" /><Relationship Type="http://schemas.openxmlformats.org/officeDocument/2006/relationships/hyperlink" Target="https://www.seeedstudio.com/catalogsearch/result/?q=Wio-SX1262" TargetMode="External" Id="rId4" /><Relationship Type="http://schemas.openxmlformats.org/officeDocument/2006/relationships/hyperlink" Target="https://www.amazon.com/s?k=SX1262+module+breakout+adapter+board" TargetMode="External" Id="rId5" /><Relationship Type="http://schemas.openxmlformats.org/officeDocument/2006/relationships/hyperlink" Target="https://www.amazon.com/s?k=915MHz+outdoor+antenna+SMA+bulkhead" TargetMode="External" Id="rId6" /><Relationship Type="http://schemas.openxmlformats.org/officeDocument/2006/relationships/hyperlink" Target="https://www.amazon.com/s?k=u.FL+to+SMA+bulkhead+pigtail+15cm" TargetMode="External" Id="rId7" /><Relationship Type="http://schemas.openxmlformats.org/officeDocument/2006/relationships/hyperlink" Target="https://www.amazon.com/s?k=RG316+SMA+extension+1m" TargetMode="External" Id="rId8" /><Relationship Type="http://schemas.openxmlformats.org/officeDocument/2006/relationships/hyperlink" Target="https://www.seeedstudio.com/catalogsearch/result/?q=Wio-SX1262" TargetMode="External" Id="rId9" /><Relationship Type="http://schemas.openxmlformats.org/officeDocument/2006/relationships/hyperlink" Target="https://www.amazon.com/s?k=915MHz+flex+antenna+u.FL" TargetMode="External" Id="rId10" /><Relationship Type="http://schemas.openxmlformats.org/officeDocument/2006/relationships/hyperlink" Target="https://heltec.org/?s=WiFi+LoRa+32+V3" TargetMode="External" Id="rId11" /><Relationship Type="http://schemas.openxmlformats.org/officeDocument/2006/relationships/hyperlink" Target="https://www.amazon.com/s?k=USB+C+wall+charger+5V" TargetMode="External" Id="rId12" /><Relationship Type="http://schemas.openxmlformats.org/officeDocument/2006/relationships/hyperlink" Target="https://www.amazon.com/s?k=Heltec+V3+case" TargetMode="External" Id="rId13" /><Relationship Type="http://schemas.openxmlformats.org/officeDocument/2006/relationships/hyperlink" Target="https://heltec.org/?s=HT-CT62" TargetMode="External" Id="rId14" /><Relationship Type="http://schemas.openxmlformats.org/officeDocument/2006/relationships/hyperlink" Target="https://store.rakwireless.com/search?q=RAK3172" TargetMode="External" Id="rId15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amazon.com/s?k=Home+Assistant+Green" TargetMode="External" Id="rId1" /><Relationship Type="http://schemas.openxmlformats.org/officeDocument/2006/relationships/hyperlink" Target="https://www.amazon.com/s?k=24VAC+40VA+transformer" TargetMode="External" Id="rId2" /><Relationship Type="http://schemas.openxmlformats.org/officeDocument/2006/relationships/hyperlink" Target="https://www.amazon.com/s?k=breadboard+jumper+wire+kit" TargetMode="External" Id="rId3" /><Relationship Type="http://schemas.openxmlformats.org/officeDocument/2006/relationships/hyperlink" Target="https://www.amazon.com/s?k=USB+C+micro+USB+cable+pack" TargetMode="External" Id="rId4" /><Relationship Type="http://schemas.openxmlformats.org/officeDocument/2006/relationships/hyperlink" Target="https://www.amazon.com/s?k=heat+shrink+tubing+assortment" TargetMode="External" Id="rId5" /><Relationship Type="http://schemas.openxmlformats.org/officeDocument/2006/relationships/hyperlink" Target="https://www.amazon.com/s?k=true+RMS+multimeter" TargetMode="External" Id="rId6" /><Relationship Type="http://schemas.openxmlformats.org/officeDocument/2006/relationships/hyperlink" Target="https://www.amazon.com/s?k=temperature+controlled+soldering+station" TargetMode="External" Id="rId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" min="1" max="1"/>
    <col width="14" customWidth="1" style="30" min="2" max="6"/>
    <col width="14" customWidth="1" style="27" min="3" max="3"/>
    <col width="14" customWidth="1" style="27" min="4" max="4"/>
    <col width="14" customWidth="1" style="27" min="5" max="5"/>
    <col width="14" customWidth="1" style="27" min="6" max="6"/>
    <col width="14" customWidth="1" style="27" min="7" max="7"/>
    <col width="14" customWidth="1" style="27" min="8" max="8"/>
  </cols>
  <sheetData>
    <row r="1" ht="17.35" customHeight="1" s="27">
      <c r="A1" s="56" t="inlineStr">
        <is>
          <t>HVAC Monitoring System — Cost Summary</t>
        </is>
      </c>
    </row>
    <row r="2" ht="15" customHeight="1" s="27">
      <c r="A2" s="57" t="inlineStr">
        <is>
          <t>Totals pull from each node sheet by phase. Edit quantities/costs (blue) on node sheets.</t>
        </is>
      </c>
    </row>
    <row r="4" ht="15" customHeight="1" s="27">
      <c r="A4" s="30" t="inlineStr">
        <is>
          <t>Node</t>
        </is>
      </c>
      <c r="B4" s="30" t="inlineStr">
        <is>
          <t>V1 (core)</t>
        </is>
      </c>
      <c r="C4" s="30" t="inlineStr">
        <is>
          <t>Optional</t>
        </is>
      </c>
      <c r="D4" s="30" t="inlineStr">
        <is>
          <t>Phase 2</t>
        </is>
      </c>
      <c r="E4" s="30" t="inlineStr">
        <is>
          <t>Future</t>
        </is>
      </c>
      <c r="F4" s="30" t="inlineStr">
        <is>
          <t>LoRa</t>
        </is>
      </c>
      <c r="G4" s="30" t="inlineStr">
        <is>
          <t>All Items</t>
        </is>
      </c>
    </row>
    <row r="5" ht="15" customHeight="1" s="27">
      <c r="A5" s="30" t="inlineStr">
        <is>
          <t>Outdoor Node</t>
        </is>
      </c>
      <c r="B5" s="30">
        <f>SUMIFS('Outdoor Node'!$E$5:$E$49,'Outdoor Node'!$F$5:$F$49,"V1")</f>
        <v/>
      </c>
      <c r="C5" s="30">
        <f>SUMIFS('Outdoor Node'!$E$5:$E$49,'Outdoor Node'!$F$5:$F$49,"Optional")</f>
        <v/>
      </c>
      <c r="D5" s="30">
        <f>SUMIFS('Outdoor Node'!$E$5:$E$49,'Outdoor Node'!$F$5:$F$49,"Phase 2")</f>
        <v/>
      </c>
      <c r="E5" s="30">
        <f>SUMIFS('Outdoor Node'!$E$5:$E$49,'Outdoor Node'!$F$5:$F$49,"Future")</f>
        <v/>
      </c>
      <c r="F5" s="30">
        <f>SUMIFS('Outdoor Node'!$E$5:$E$49,'Outdoor Node'!$F$5:$F$49,"LoRa")</f>
        <v/>
      </c>
      <c r="G5" s="30">
        <f>SUM(B5:F5)</f>
        <v/>
      </c>
      <c r="H5" s="30" t="n"/>
    </row>
    <row r="6" ht="15" customHeight="1" s="27">
      <c r="A6" s="30" t="inlineStr">
        <is>
          <t>Indoor Node</t>
        </is>
      </c>
      <c r="B6" s="30">
        <f>SUMIFS('Indoor Node'!$E$5:$E$31,'Indoor Node'!$F$5:$F$31,"V1")</f>
        <v/>
      </c>
      <c r="C6" s="30">
        <f>SUMIFS('Indoor Node'!$E$5:$E$31,'Indoor Node'!$F$5:$F$31,"Optional")</f>
        <v/>
      </c>
      <c r="D6" s="30">
        <f>SUMIFS('Indoor Node'!$E$5:$E$31,'Indoor Node'!$F$5:$F$31,"Phase 2")</f>
        <v/>
      </c>
      <c r="E6" s="30">
        <f>SUMIFS('Indoor Node'!$E$5:$E$31,'Indoor Node'!$F$5:$F$31,"Future")</f>
        <v/>
      </c>
      <c r="F6" s="30">
        <f>SUMIFS('Indoor Node'!$E$5:$E$31,'Indoor Node'!$F$5:$F$31,"LoRa")</f>
        <v/>
      </c>
      <c r="G6" s="30">
        <f>SUM(B6:F6)</f>
        <v/>
      </c>
      <c r="H6" s="30" t="n"/>
    </row>
    <row r="7" ht="15" customHeight="1" s="27">
      <c r="A7" s="30" t="inlineStr">
        <is>
          <t>Display Node</t>
        </is>
      </c>
      <c r="B7" s="30">
        <f>SUMIFS('Display Node'!$E$5:$E$25,'Display Node'!$F$5:$F$25,"V1")</f>
        <v/>
      </c>
      <c r="C7" s="30">
        <f>SUMIFS('Display Node'!$E$5:$E$25,'Display Node'!$F$5:$F$25,"Optional")</f>
        <v/>
      </c>
      <c r="D7" s="30">
        <f>SUMIFS('Display Node'!$E$5:$E$25,'Display Node'!$F$5:$F$25,"Phase 2")</f>
        <v/>
      </c>
      <c r="E7" s="30">
        <f>SUMIFS('Display Node'!$E$5:$E$25,'Display Node'!$F$5:$F$25,"Future")</f>
        <v/>
      </c>
      <c r="F7" s="30">
        <f>SUMIFS('Display Node'!$E$5:$E$25,'Display Node'!$F$5:$F$25,"LoRa")</f>
        <v/>
      </c>
      <c r="G7" s="30">
        <f>SUM(B7:F7)</f>
        <v/>
      </c>
      <c r="H7" s="30" t="n"/>
    </row>
    <row r="8" ht="15" customHeight="1" s="27">
      <c r="A8" s="30" t="inlineStr">
        <is>
          <t>LoRa Radio</t>
        </is>
      </c>
      <c r="B8" s="30">
        <f>SUMIFS('LoRa Radio'!$E$5:$E$23,'LoRa Radio'!$F$5:$F$23,"V1")</f>
        <v/>
      </c>
      <c r="C8" s="30">
        <f>SUMIFS('LoRa Radio'!$E$5:$E$23,'LoRa Radio'!$F$5:$F$23,"Optional")</f>
        <v/>
      </c>
      <c r="D8" s="30">
        <f>SUMIFS('LoRa Radio'!$E$5:$E$23,'LoRa Radio'!$F$5:$F$23,"Phase 2")</f>
        <v/>
      </c>
      <c r="E8" s="30">
        <f>SUMIFS('LoRa Radio'!$E$5:$E$23,'LoRa Radio'!$F$5:$F$23,"Future")</f>
        <v/>
      </c>
      <c r="F8" s="30">
        <f>SUMIFS('LoRa Radio'!$E$5:$E$23,'LoRa Radio'!$F$5:$F$23,"LoRa")</f>
        <v/>
      </c>
      <c r="G8" s="30">
        <f>SUM(B8:F8)</f>
        <v/>
      </c>
      <c r="H8" s="30" t="n"/>
    </row>
    <row r="9" ht="15" customHeight="1" s="27">
      <c r="A9" s="30" t="inlineStr">
        <is>
          <t>Infrastructure</t>
        </is>
      </c>
      <c r="B9" s="30">
        <f>SUMIFS(Infrastructure!$E$5:$E$13,Infrastructure!$F$5:$F$13,"V1")</f>
        <v/>
      </c>
      <c r="C9" s="30">
        <f>SUMIFS(Infrastructure!$E$5:$E$13,Infrastructure!$F$5:$F$13,"Optional")</f>
        <v/>
      </c>
      <c r="D9" s="30">
        <f>SUMIFS(Infrastructure!$E$5:$E$13,Infrastructure!$F$5:$F$13,"Phase 2")</f>
        <v/>
      </c>
      <c r="E9" s="30">
        <f>SUMIFS(Infrastructure!$E$5:$E$13,Infrastructure!$F$5:$F$13,"Future")</f>
        <v/>
      </c>
      <c r="F9" s="30">
        <f>SUMIFS(Infrastructure!$E$5:$E$13,Infrastructure!$F$5:$F$13,"LoRa")</f>
        <v/>
      </c>
      <c r="G9" s="30">
        <f>SUM(B9:F9)</f>
        <v/>
      </c>
      <c r="H9" s="30" t="n"/>
    </row>
    <row r="10">
      <c r="A10" s="30" t="inlineStr">
        <is>
          <t>Total</t>
        </is>
      </c>
      <c r="B10" s="30">
        <f>SUM(B5:B9)</f>
        <v/>
      </c>
      <c r="C10" s="30">
        <f>SUM(C5:C9)</f>
        <v/>
      </c>
      <c r="D10" s="30">
        <f>SUM(D5:D9)</f>
        <v/>
      </c>
      <c r="E10" s="30">
        <f>SUM(E5:E9)</f>
        <v/>
      </c>
      <c r="F10" s="30">
        <f>SUM(F5:F9)</f>
        <v/>
      </c>
      <c r="G10" s="30">
        <f>SUM(G5:G9)</f>
        <v/>
      </c>
      <c r="H10" s="30" t="n"/>
    </row>
    <row r="11" ht="15" customHeight="1" s="27">
      <c r="A11" s="30" t="n"/>
      <c r="B11" s="30" t="n"/>
      <c r="C11" s="30" t="n"/>
      <c r="D11" s="30" t="n"/>
      <c r="E11" s="30" t="n"/>
      <c r="F11" s="30" t="n"/>
    </row>
    <row r="12" ht="15" customHeight="1" s="27">
      <c r="A12" s="30" t="inlineStr">
        <is>
          <t>Notes</t>
        </is>
      </c>
      <c r="B12" s="30" t="n"/>
      <c r="C12" s="30" t="n"/>
      <c r="D12" s="30" t="n"/>
      <c r="E12" s="30" t="n"/>
      <c r="F12" s="30" t="n"/>
    </row>
    <row r="13" ht="15" customHeight="1" s="27">
      <c r="A13" s="30" t="inlineStr">
        <is>
          <t>• Power supply kit cost is included in each node's total (3 kits); the Power Kit sheet is not added separately.</t>
        </is>
      </c>
      <c r="B13" s="30" t="n"/>
      <c r="C13" s="30" t="n"/>
      <c r="D13" s="30" t="n"/>
      <c r="E13" s="30" t="n"/>
      <c r="F13" s="30" t="n"/>
    </row>
    <row r="14" ht="15" customHeight="1" s="27">
      <c r="A14" s="30" t="inlineStr">
        <is>
          <t>• XDB307-3 price ($73.67) is from the Amazon listing you found; other prices are estimates — verify before ordering.</t>
        </is>
      </c>
      <c r="B14" s="30" t="n"/>
      <c r="C14" s="30" t="n"/>
      <c r="D14" s="30" t="n"/>
      <c r="E14" s="30" t="n"/>
      <c r="F14" s="30" t="n"/>
    </row>
    <row r="15" ht="15" customHeight="1" s="27">
      <c r="A15" s="30" t="inlineStr">
        <is>
          <t>• Production BOM will be far lower: buy transducers direct from the manufacturer at volume and move to a custom PCB.</t>
        </is>
      </c>
      <c r="B15" s="30" t="n"/>
      <c r="C15" s="30" t="n"/>
      <c r="D15" s="30" t="n"/>
      <c r="E15" s="30" t="n"/>
      <c r="F15" s="30" t="n"/>
    </row>
    <row r="16">
      <c r="A16" s="30" t="inlineStr">
        <is>
          <t>• Phase legend: V1 = proof of concept · Optional = recommended extras · Phase 2 = electrical monitoring · Future = thermostat replacement · LoRa = 900 MHz radio (range test, node radios, gateway).</t>
        </is>
      </c>
      <c r="B16" s="30" t="n"/>
      <c r="C16" s="30" t="n"/>
      <c r="D16" s="30" t="n"/>
      <c r="E16" s="30" t="n"/>
      <c r="F16" s="30" t="n"/>
    </row>
    <row r="17">
      <c r="A17" s="30" t="inlineStr">
        <is>
          <t>• LoRa and the thermostat module follow radio/README.md and thermostat/README.md; both are designs not yet built, so treat prices as estimates.</t>
        </is>
      </c>
      <c r="B17" s="30" t="n"/>
      <c r="C17" s="30" t="n"/>
      <c r="D17" s="30" t="n"/>
      <c r="E17" s="30" t="n"/>
      <c r="F17" s="30" t="n"/>
    </row>
    <row r="18">
      <c r="A18" s="30" t="n"/>
      <c r="B18" s="30" t="n"/>
      <c r="C18" s="30" t="n"/>
      <c r="D18" s="30" t="n"/>
      <c r="E18" s="30" t="n"/>
      <c r="F18" s="30" t="n"/>
    </row>
    <row r="19">
      <c r="A19" s="61" t="inlineStr">
        <is>
          <t>Rev B carrier boards (per-board build: bare PCB + everything soldered or plugged onto it)</t>
        </is>
      </c>
      <c r="B19" s="30" t="n"/>
      <c r="C19" s="30" t="n"/>
      <c r="D19" s="30" t="n"/>
      <c r="E19" s="30" t="n"/>
      <c r="F19" s="30" t="n"/>
    </row>
    <row r="20">
      <c r="A20" s="30" t="inlineStr">
        <is>
          <t>Node</t>
        </is>
      </c>
      <c r="B20" s="30" t="inlineStr">
        <is>
          <t>V1 (core)</t>
        </is>
      </c>
      <c r="C20" s="30" t="inlineStr">
        <is>
          <t>Optional</t>
        </is>
      </c>
      <c r="D20" s="30" t="inlineStr">
        <is>
          <t>Phase 2</t>
        </is>
      </c>
      <c r="E20" s="30" t="inlineStr">
        <is>
          <t>Future</t>
        </is>
      </c>
      <c r="F20" s="30" t="inlineStr">
        <is>
          <t>LoRa</t>
        </is>
      </c>
      <c r="G20" t="inlineStr">
        <is>
          <t>All Items</t>
        </is>
      </c>
    </row>
    <row r="21">
      <c r="A21" t="inlineStr">
        <is>
          <t>Outdoor Carrier Rev B</t>
        </is>
      </c>
      <c r="B21">
        <f>SUMIFS('Outdoor Carrier Rev B'!$E$5:$E$51,'Outdoor Carrier Rev B'!$F$5:$F$51,"V1")</f>
        <v/>
      </c>
      <c r="C21">
        <f>SUMIFS('Outdoor Carrier Rev B'!$E$5:$E$51,'Outdoor Carrier Rev B'!$F$5:$F$51,"Optional")</f>
        <v/>
      </c>
      <c r="D21">
        <f>SUMIFS('Outdoor Carrier Rev B'!$E$5:$E$51,'Outdoor Carrier Rev B'!$F$5:$F$51,"Phase 2")</f>
        <v/>
      </c>
      <c r="E21">
        <f>SUMIFS('Outdoor Carrier Rev B'!$E$5:$E$51,'Outdoor Carrier Rev B'!$F$5:$F$51,"Future")</f>
        <v/>
      </c>
      <c r="F21">
        <f>SUMIFS('Outdoor Carrier Rev B'!$E$5:$E$51,'Outdoor Carrier Rev B'!$F$5:$F$51,"LoRa")</f>
        <v/>
      </c>
      <c r="G21">
        <f>SUM(B21:F21)</f>
        <v/>
      </c>
    </row>
    <row r="22">
      <c r="A22" t="inlineStr">
        <is>
          <t>Indoor Carrier Rev B</t>
        </is>
      </c>
      <c r="B22">
        <f>SUMIFS('Indoor Carrier Rev B'!$E$5:$E$41,'Indoor Carrier Rev B'!$F$5:$F$41,"V1")</f>
        <v/>
      </c>
      <c r="C22">
        <f>SUMIFS('Indoor Carrier Rev B'!$E$5:$E$41,'Indoor Carrier Rev B'!$F$5:$F$41,"Optional")</f>
        <v/>
      </c>
      <c r="D22">
        <f>SUMIFS('Indoor Carrier Rev B'!$E$5:$E$41,'Indoor Carrier Rev B'!$F$5:$F$41,"Phase 2")</f>
        <v/>
      </c>
      <c r="E22">
        <f>SUMIFS('Indoor Carrier Rev B'!$E$5:$E$41,'Indoor Carrier Rev B'!$F$5:$F$41,"Future")</f>
        <v/>
      </c>
      <c r="F22">
        <f>SUMIFS('Indoor Carrier Rev B'!$E$5:$E$41,'Indoor Carrier Rev B'!$F$5:$F$41,"LoRa")</f>
        <v/>
      </c>
      <c r="G22">
        <f>SUM(B22:F22)</f>
        <v/>
      </c>
    </row>
    <row r="23">
      <c r="A23" t="inlineStr">
        <is>
          <t>Rev B boards total</t>
        </is>
      </c>
      <c r="B23">
        <f>SUM(B21:B22)</f>
        <v/>
      </c>
      <c r="C23">
        <f>SUM(C21:C22)</f>
        <v/>
      </c>
      <c r="D23">
        <f>SUM(D21:D22)</f>
        <v/>
      </c>
      <c r="E23">
        <f>SUM(E21:E22)</f>
        <v/>
      </c>
      <c r="F23">
        <f>SUM(F21:F22)</f>
        <v/>
      </c>
      <c r="G23">
        <f>SUM(G21:G22)</f>
        <v/>
      </c>
    </row>
    <row r="25">
      <c r="A25" t="inlineStr">
        <is>
          <t>• The rev B sheets overlap the node sheets (ESP32, power kit parts, ADS1115, optos, resistors, TCA9548A): they are a shopping list for building one board, so they are not added to the totals above.</t>
        </is>
      </c>
    </row>
    <row r="26">
      <c r="A26" t="inlineStr">
        <is>
          <t>• Rev B puts the TCA9548A, the LoRa module footprint and three CT jacks on the boards: the LoRa sheet's "Module breakout" and the Indoor Node sheet's TCA9548A breakout are not needed with rev B.</t>
        </is>
      </c>
    </row>
    <row r="27">
      <c r="A27" t="inlineStr">
        <is>
          <t>• The CT clamps (SCT-013-000 / -005 / -010) are electrical module version 1 and sit in the Phase 2 column.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Power Kit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3" ht="15" customHeight="1" s="27">
      <c r="A3" s="31" t="inlineStr">
        <is>
          <t>Build 3 kits — one each for outdoor, indoor and display nodes. Kit cost flows into each node sheet.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Power supply kit parts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Inline fuse holder</t>
        </is>
      </c>
      <c r="B6" s="49" t="inlineStr">
        <is>
          <t>5x20mm or ATO, 18 AWG leads</t>
        </is>
      </c>
      <c r="C6" s="50" t="n">
        <v>1</v>
      </c>
      <c r="D6" s="51" t="n">
        <v>3</v>
      </c>
      <c r="E6" s="52">
        <f>C6*D6</f>
        <v/>
      </c>
      <c r="F6" s="39" t="inlineStr">
        <is>
          <t>V1</t>
        </is>
      </c>
      <c r="G6" s="54" t="inlineStr">
        <is>
          <t>DigiKey</t>
        </is>
      </c>
      <c r="H6" s="55" t="inlineStr">
        <is>
          <t>Search</t>
        </is>
      </c>
      <c r="I6" s="49" t="inlineStr">
        <is>
          <t>Install on R</t>
        </is>
      </c>
    </row>
    <row r="7" ht="15" customHeight="1" s="27">
      <c r="A7" s="49" t="inlineStr">
        <is>
          <t>Fuse</t>
        </is>
      </c>
      <c r="B7" s="49" t="inlineStr">
        <is>
          <t>0.5 A fast-blow</t>
        </is>
      </c>
      <c r="C7" s="50" t="n">
        <v>1</v>
      </c>
      <c r="D7" s="51" t="n">
        <v>1</v>
      </c>
      <c r="E7" s="52">
        <f>C7*D7</f>
        <v/>
      </c>
      <c r="F7" s="39" t="inlineStr">
        <is>
          <t>V1</t>
        </is>
      </c>
      <c r="G7" s="54" t="inlineStr">
        <is>
          <t>DigiKey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TVS diode</t>
        </is>
      </c>
      <c r="B8" s="49" t="inlineStr">
        <is>
          <t>SMBJ48CA bidirectional</t>
        </is>
      </c>
      <c r="C8" s="50" t="n">
        <v>1</v>
      </c>
      <c r="D8" s="51" t="n">
        <v>0.5</v>
      </c>
      <c r="E8" s="52">
        <f>C8*D8</f>
        <v/>
      </c>
      <c r="F8" s="39" t="inlineStr">
        <is>
          <t>V1</t>
        </is>
      </c>
      <c r="G8" s="54" t="inlineStr">
        <is>
          <t>DigiKey</t>
        </is>
      </c>
      <c r="H8" s="55" t="inlineStr">
        <is>
          <t>Search</t>
        </is>
      </c>
      <c r="I8" s="49" t="inlineStr">
        <is>
          <t>Across 24 VAC input; clamps contactor coil spikes</t>
        </is>
      </c>
    </row>
    <row r="9" ht="15" customHeight="1" s="27">
      <c r="A9" s="49" t="inlineStr">
        <is>
          <t>Rectifier diode</t>
        </is>
      </c>
      <c r="B9" s="49" t="inlineStr">
        <is>
          <t>1N4007</t>
        </is>
      </c>
      <c r="C9" s="50" t="n">
        <v>1</v>
      </c>
      <c r="D9" s="51" t="n">
        <v>0.1</v>
      </c>
      <c r="E9" s="52">
        <f>C9*D9</f>
        <v/>
      </c>
      <c r="F9" s="39" t="inlineStr">
        <is>
          <t>V1</t>
        </is>
      </c>
      <c r="G9" s="54" t="inlineStr">
        <is>
          <t>DigiKey</t>
        </is>
      </c>
      <c r="H9" s="55" t="inlineStr">
        <is>
          <t>Search</t>
        </is>
      </c>
      <c r="I9" s="49" t="inlineStr">
        <is>
          <t>Half-wave: keeps C as DC ground</t>
        </is>
      </c>
    </row>
    <row r="10" ht="15" customHeight="1" s="27">
      <c r="A10" s="49" t="inlineStr">
        <is>
          <t>Bulk capacitor</t>
        </is>
      </c>
      <c r="B10" s="49" t="inlineStr">
        <is>
          <t>470 µF 63 V electrolytic</t>
        </is>
      </c>
      <c r="C10" s="50" t="n">
        <v>1</v>
      </c>
      <c r="D10" s="51" t="n">
        <v>0.6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n"/>
    </row>
    <row r="11" ht="15" customHeight="1" s="27">
      <c r="A11" s="49" t="inlineStr">
        <is>
          <t>Bypass capacitor</t>
        </is>
      </c>
      <c r="B11" s="49" t="inlineStr">
        <is>
          <t>0.1 µF 100 V ceramic</t>
        </is>
      </c>
      <c r="C11" s="50" t="n">
        <v>1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n"/>
    </row>
    <row r="12" ht="26.85" customHeight="1" s="27">
      <c r="A12" s="49" t="inlineStr">
        <is>
          <t>Buck converter module</t>
        </is>
      </c>
      <c r="B12" s="49" t="inlineStr">
        <is>
          <t>LM2596HV (60 V input), set to 5.0 V</t>
        </is>
      </c>
      <c r="C12" s="50" t="n">
        <v>1</v>
      </c>
      <c r="D12" s="51" t="n">
        <v>4</v>
      </c>
      <c r="E12" s="52">
        <f>C12*D12</f>
        <v/>
      </c>
      <c r="F12" s="39" t="inlineStr">
        <is>
          <t>V1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Must be HV version; 24 VAC rectifies to ~40 V peak</t>
        </is>
      </c>
    </row>
    <row r="13" ht="15" customHeight="1" s="27">
      <c r="A13" s="49" t="inlineStr">
        <is>
          <t>Terminal block</t>
        </is>
      </c>
      <c r="B13" s="49" t="inlineStr">
        <is>
          <t>2-pos pluggable 5.08 mm</t>
        </is>
      </c>
      <c r="C13" s="50" t="n">
        <v>1</v>
      </c>
      <c r="D13" s="51" t="n">
        <v>1</v>
      </c>
      <c r="E13" s="52">
        <f>C13*D13</f>
        <v/>
      </c>
      <c r="F13" s="39" t="inlineStr">
        <is>
          <t>V1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R, C input</t>
        </is>
      </c>
    </row>
    <row r="15" ht="15" customHeight="1" s="27">
      <c r="D15" s="42" t="inlineStr">
        <is>
          <t>Total</t>
        </is>
      </c>
      <c r="E15" s="43">
        <f>SUM(E5:E13)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8" display="Search" r:id="rId3"/>
    <hyperlink xmlns:r="http://schemas.openxmlformats.org/officeDocument/2006/relationships" ref="H9" display="Search" r:id="rId4"/>
    <hyperlink xmlns:r="http://schemas.openxmlformats.org/officeDocument/2006/relationships" ref="H10" display="Search" r:id="rId5"/>
    <hyperlink xmlns:r="http://schemas.openxmlformats.org/officeDocument/2006/relationships" ref="H11" display="Search" r:id="rId6"/>
    <hyperlink xmlns:r="http://schemas.openxmlformats.org/officeDocument/2006/relationships" ref="H12" display="Search" r:id="rId7"/>
    <hyperlink xmlns:r="http://schemas.openxmlformats.org/officeDocument/2006/relationships" ref="H13" display="Search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Outdoor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Controller &amp; interface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ESP32 dev board</t>
        </is>
      </c>
      <c r="B6" s="49" t="inlineStr">
        <is>
          <t>ESP32-WROOM-32U (external antenna)</t>
        </is>
      </c>
      <c r="C6" s="50" t="n">
        <v>1</v>
      </c>
      <c r="D6" s="51" t="n">
        <v>10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Metal cabinet blocks WiFi</t>
        </is>
      </c>
    </row>
    <row r="7" ht="26.85" customHeight="1" s="27">
      <c r="A7" s="49" t="inlineStr">
        <is>
          <t>Antenna + pigtail</t>
        </is>
      </c>
      <c r="B7" s="49" t="inlineStr">
        <is>
          <t>2.4 GHz antenna, u.FL to RP-SMA bulkhead</t>
        </is>
      </c>
      <c r="C7" s="50" t="n">
        <v>1</v>
      </c>
      <c r="D7" s="51" t="n">
        <v>8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inlineStr">
        <is>
          <t>Mount antenna outside cabinet</t>
        </is>
      </c>
    </row>
    <row r="8" ht="15" customHeight="1" s="27">
      <c r="A8" s="49" t="inlineStr">
        <is>
          <t>Power supply kit</t>
        </is>
      </c>
      <c r="B8" s="49" t="inlineStr">
        <is>
          <t>See 'Power Kit' sheet</t>
        </is>
      </c>
      <c r="C8" s="50" t="n">
        <v>1</v>
      </c>
      <c r="D8" s="44">
        <f>'Power Kit'!$E$15</f>
        <v/>
      </c>
      <c r="E8" s="52">
        <f>C8*D8</f>
        <v/>
      </c>
      <c r="F8" s="39" t="inlineStr">
        <is>
          <t>V1</t>
        </is>
      </c>
      <c r="G8" s="54" t="inlineStr">
        <is>
          <t>Built in-house</t>
        </is>
      </c>
      <c r="H8" s="54" t="n"/>
      <c r="I8" s="49" t="inlineStr">
        <is>
          <t>Cost links to Power Kit sheet</t>
        </is>
      </c>
    </row>
    <row r="9" ht="15" customHeight="1" s="27">
      <c r="A9" s="49" t="inlineStr">
        <is>
          <t>ADC module</t>
        </is>
      </c>
      <c r="B9" s="49" t="inlineStr">
        <is>
          <t>ADS1115 16-bit, 4-ch</t>
        </is>
      </c>
      <c r="C9" s="50" t="n">
        <v>2</v>
      </c>
      <c r="D9" s="51" t="n">
        <v>6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Addresses 0x48 / 0x49; run at 3.3 V</t>
        </is>
      </c>
    </row>
    <row r="10" ht="15" customHeight="1" s="27">
      <c r="A10" s="49" t="inlineStr">
        <is>
          <t>AC-input optocoupler</t>
        </is>
      </c>
      <c r="B10" s="49" t="inlineStr">
        <is>
          <t>H11AA1</t>
        </is>
      </c>
      <c r="C10" s="50" t="n">
        <v>3</v>
      </c>
      <c r="D10" s="51" t="n">
        <v>0.8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inlineStr">
        <is>
          <t>Y, O/B, spare</t>
        </is>
      </c>
    </row>
    <row r="11" ht="15" customHeight="1" s="27">
      <c r="A11" s="49" t="inlineStr">
        <is>
          <t>Opto series resistor</t>
        </is>
      </c>
      <c r="B11" s="49" t="inlineStr">
        <is>
          <t>4.7k ½ W</t>
        </is>
      </c>
      <c r="C11" s="50" t="n">
        <v>3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One per opto input</t>
        </is>
      </c>
    </row>
    <row r="12" ht="15" customHeight="1" s="27">
      <c r="A12" s="49" t="inlineStr">
        <is>
          <t>Opto pull-up resistor</t>
        </is>
      </c>
      <c r="B12" s="49" t="inlineStr">
        <is>
          <t>10k ¼ W</t>
        </is>
      </c>
      <c r="C12" s="50" t="n">
        <v>3</v>
      </c>
      <c r="D12" s="51" t="n">
        <v>0.05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One per opto output</t>
        </is>
      </c>
    </row>
    <row r="13" ht="15" customHeight="1" s="27">
      <c r="A13" s="47" t="inlineStr">
        <is>
          <t>Refrigerant sensors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</row>
    <row r="14" ht="26.85" customHeight="1" s="27">
      <c r="A14" s="49" t="inlineStr">
        <is>
          <t>Pressure transducer (high/vapor)</t>
        </is>
      </c>
      <c r="B14" s="49" t="inlineStr">
        <is>
          <t>XDB307-3, 0.5–4.5 V, 5–12 V, 0–50 bar, 7/16-20 UNF</t>
        </is>
      </c>
      <c r="C14" s="50" t="n">
        <v>2</v>
      </c>
      <c r="D14" s="51" t="n">
        <v>73.67</v>
      </c>
      <c r="E14" s="52">
        <f>C14*D14</f>
        <v/>
      </c>
      <c r="F14" s="39" t="inlineStr">
        <is>
          <t>V1</t>
        </is>
      </c>
      <c r="G14" s="54" t="inlineStr">
        <is>
          <t>Amazon</t>
        </is>
      </c>
      <c r="H14" s="55" t="inlineStr">
        <is>
          <t>Search</t>
        </is>
      </c>
      <c r="I14" s="49" t="inlineStr">
        <is>
          <t>Liquid line + vapor line port. Price from Amazon listing (LDGSUPH). Confirm depressor with seller</t>
        </is>
      </c>
    </row>
    <row r="15" ht="15" customHeight="1" s="27">
      <c r="A15" s="49" t="inlineStr">
        <is>
          <t>Pressure transducer (true suction)</t>
        </is>
      </c>
      <c r="B15" s="49" t="inlineStr">
        <is>
          <t>XDB307-3, 0.5–4.5 V, 0–35 bar</t>
        </is>
      </c>
      <c r="C15" s="50" t="n">
        <v>1</v>
      </c>
      <c r="D15" s="51" t="n">
        <v>73.67</v>
      </c>
      <c r="E15" s="52">
        <f>C15*D15</f>
        <v/>
      </c>
      <c r="F15" s="39" t="inlineStr">
        <is>
          <t>V1</t>
        </is>
      </c>
      <c r="G15" s="54" t="inlineStr">
        <is>
          <t>Amazon</t>
        </is>
      </c>
      <c r="H15" s="55" t="inlineStr">
        <is>
          <t>Search</t>
        </is>
      </c>
      <c r="I15" s="49" t="inlineStr">
        <is>
          <t>Never sees discharge pressure</t>
        </is>
      </c>
    </row>
    <row r="16" ht="15" customHeight="1" s="27">
      <c r="A16" s="49" t="inlineStr">
        <is>
          <t>Pipe thermistor</t>
        </is>
      </c>
      <c r="B16" s="49" t="inlineStr">
        <is>
          <t>10k NTC strap-on</t>
        </is>
      </c>
      <c r="C16" s="50" t="n">
        <v>2</v>
      </c>
      <c r="D16" s="51" t="n">
        <v>12</v>
      </c>
      <c r="E16" s="52">
        <f>C16*D16</f>
        <v/>
      </c>
      <c r="F16" s="39" t="inlineStr">
        <is>
          <t>V1</t>
        </is>
      </c>
      <c r="G16" s="54" t="inlineStr">
        <is>
          <t>Amazon</t>
        </is>
      </c>
      <c r="H16" s="55" t="inlineStr">
        <is>
          <t>Search</t>
        </is>
      </c>
      <c r="I16" s="49" t="inlineStr">
        <is>
          <t>Suction line + liquid line</t>
        </is>
      </c>
    </row>
    <row r="17" ht="15" customHeight="1" s="27">
      <c r="A17" s="49" t="inlineStr">
        <is>
          <t>Pipe thermistor (true suction)</t>
        </is>
      </c>
      <c r="B17" s="49" t="inlineStr">
        <is>
          <t>10k NTC strap-on</t>
        </is>
      </c>
      <c r="C17" s="50" t="n">
        <v>1</v>
      </c>
      <c r="D17" s="51" t="n">
        <v>12</v>
      </c>
      <c r="E17" s="52">
        <f>C17*D17</f>
        <v/>
      </c>
      <c r="F17" s="45" t="inlineStr">
        <is>
          <t>Optional</t>
        </is>
      </c>
      <c r="G17" s="54" t="inlineStr">
        <is>
          <t>Amazon</t>
        </is>
      </c>
      <c r="H17" s="55" t="inlineStr">
        <is>
          <t>Search</t>
        </is>
      </c>
      <c r="I17" s="49" t="inlineStr">
        <is>
          <t>Heating-mode superheat</t>
        </is>
      </c>
    </row>
    <row r="18" ht="15" customHeight="1" s="27">
      <c r="A18" s="49" t="inlineStr">
        <is>
          <t>Discharge line thermistor</t>
        </is>
      </c>
      <c r="B18" s="49" t="inlineStr">
        <is>
          <t>High-temp 10k NTC, 150 °C+</t>
        </is>
      </c>
      <c r="C18" s="50" t="n">
        <v>1</v>
      </c>
      <c r="D18" s="51" t="n">
        <v>15</v>
      </c>
      <c r="E18" s="52">
        <f>C18*D18</f>
        <v/>
      </c>
      <c r="F18" s="45" t="inlineStr">
        <is>
          <t>Optional</t>
        </is>
      </c>
      <c r="G18" s="54" t="inlineStr">
        <is>
          <t>Amazon</t>
        </is>
      </c>
      <c r="H18" s="55" t="inlineStr">
        <is>
          <t>Search</t>
        </is>
      </c>
      <c r="I18" s="49" t="inlineStr">
        <is>
          <t>Compressor health indicator</t>
        </is>
      </c>
    </row>
    <row r="19" ht="15" customHeight="1" s="27">
      <c r="A19" s="47" t="inlineStr">
        <is>
          <t>Signal conditioning</t>
        </is>
      </c>
      <c r="B19" s="48" t="n"/>
      <c r="C19" s="48" t="n"/>
      <c r="D19" s="48" t="n"/>
      <c r="E19" s="48" t="n"/>
      <c r="F19" s="48" t="n"/>
      <c r="G19" s="48" t="n"/>
      <c r="H19" s="48" t="n"/>
      <c r="I19" s="48" t="n"/>
    </row>
    <row r="20" ht="15" customHeight="1" s="27">
      <c r="A20" s="49" t="inlineStr">
        <is>
          <t>Divider resistor (top)</t>
        </is>
      </c>
      <c r="B20" s="49" t="inlineStr">
        <is>
          <t>10k 1% metal film</t>
        </is>
      </c>
      <c r="C20" s="50" t="n">
        <v>3</v>
      </c>
      <c r="D20" s="51" t="n">
        <v>0.05</v>
      </c>
      <c r="E20" s="52">
        <f>C20*D20</f>
        <v/>
      </c>
      <c r="F20" s="39" t="inlineStr">
        <is>
          <t>V1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Sensor dividers: 4.5 V -&gt; 3.0 V</t>
        </is>
      </c>
    </row>
    <row r="21" ht="15" customHeight="1" s="27">
      <c r="A21" s="49" t="inlineStr">
        <is>
          <t>Divider resistor (bottom)</t>
        </is>
      </c>
      <c r="B21" s="49" t="inlineStr">
        <is>
          <t>20k 1% metal film</t>
        </is>
      </c>
      <c r="C21" s="50" t="n">
        <v>3</v>
      </c>
      <c r="D21" s="51" t="n">
        <v>0.05</v>
      </c>
      <c r="E21" s="52">
        <f>C21*D21</f>
        <v/>
      </c>
      <c r="F21" s="39" t="inlineStr">
        <is>
          <t>V1</t>
        </is>
      </c>
      <c r="G21" s="54" t="inlineStr">
        <is>
          <t>DigiKey</t>
        </is>
      </c>
      <c r="H21" s="55" t="inlineStr">
        <is>
          <t>Search</t>
        </is>
      </c>
      <c r="I21" s="49" t="inlineStr">
        <is>
          <t>R2, R4, R6. 10k also works: set P_DIV_BOTTOM_K 10.0 in config.h</t>
        </is>
      </c>
    </row>
    <row r="22" ht="15" customHeight="1" s="27">
      <c r="A22" s="49" t="inlineStr">
        <is>
          <t>Rail monitor divider</t>
        </is>
      </c>
      <c r="B22" s="49" t="inlineStr">
        <is>
          <t>10k + 15k 1% (pair)</t>
        </is>
      </c>
      <c r="C22" s="50" t="n">
        <v>1</v>
      </c>
      <c r="D22" s="51" t="n">
        <v>0.1</v>
      </c>
      <c r="E22" s="52">
        <f>C22*D22</f>
        <v/>
      </c>
      <c r="F22" s="39" t="inlineStr">
        <is>
          <t>V1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R7 (10k) / R8 (15k): measures the 5 V rail for ratiometric correction. R8 may be 10k (RAIL_DIV_BOTTOM_K 10.0); 15k is the most it can be</t>
        </is>
      </c>
    </row>
    <row r="23" ht="15" customHeight="1" s="27">
      <c r="A23" s="49" t="inlineStr">
        <is>
          <t>Thermistor reference resistor</t>
        </is>
      </c>
      <c r="B23" s="49" t="inlineStr">
        <is>
          <t>10k 0.1%</t>
        </is>
      </c>
      <c r="C23" s="50" t="n">
        <v>4</v>
      </c>
      <c r="D23" s="51" t="n">
        <v>0.5</v>
      </c>
      <c r="E23" s="52">
        <f>C23*D23</f>
        <v/>
      </c>
      <c r="F23" s="39" t="inlineStr">
        <is>
          <t>V1</t>
        </is>
      </c>
      <c r="G23" s="54" t="inlineStr">
        <is>
          <t>DigiKey</t>
        </is>
      </c>
      <c r="H23" s="55" t="inlineStr">
        <is>
          <t>Search</t>
        </is>
      </c>
      <c r="I23" s="49" t="inlineStr">
        <is>
          <t>2 used in V1, 2 for optional thermistors</t>
        </is>
      </c>
    </row>
    <row r="24" ht="15" customHeight="1" s="27">
      <c r="A24" s="49" t="inlineStr">
        <is>
          <t>ADC filter capacitor</t>
        </is>
      </c>
      <c r="B24" s="49" t="inlineStr">
        <is>
          <t>0.1 µF ceramic</t>
        </is>
      </c>
      <c r="C24" s="50" t="n">
        <v>7</v>
      </c>
      <c r="D24" s="51" t="n">
        <v>0.1</v>
      </c>
      <c r="E24" s="52">
        <f>C24*D24</f>
        <v/>
      </c>
      <c r="F24" s="39" t="inlineStr">
        <is>
          <t>V1</t>
        </is>
      </c>
      <c r="G24" s="54" t="inlineStr">
        <is>
          <t>DigiKey</t>
        </is>
      </c>
      <c r="H24" s="55" t="inlineStr">
        <is>
          <t>Search</t>
        </is>
      </c>
      <c r="I24" s="49" t="inlineStr">
        <is>
          <t>One per ADC input</t>
        </is>
      </c>
    </row>
    <row r="25" ht="15" customHeight="1" s="27">
      <c r="A25" s="47" t="inlineStr">
        <is>
          <t>Outdoor air</t>
        </is>
      </c>
      <c r="B25" s="48" t="n"/>
      <c r="C25" s="48" t="n"/>
      <c r="D25" s="48" t="n"/>
      <c r="E25" s="48" t="n"/>
      <c r="F25" s="48" t="n"/>
      <c r="G25" s="48" t="n"/>
      <c r="H25" s="48" t="n"/>
      <c r="I25" s="48" t="n"/>
    </row>
    <row r="26" ht="15" customHeight="1" s="27">
      <c r="A26" s="49" t="inlineStr">
        <is>
          <t>Temp/humidity sensor</t>
        </is>
      </c>
      <c r="B26" s="49" t="inlineStr">
        <is>
          <t>SHT45 with PTFE membrane</t>
        </is>
      </c>
      <c r="C26" s="50" t="n">
        <v>1</v>
      </c>
      <c r="D26" s="51" t="n">
        <v>15</v>
      </c>
      <c r="E26" s="52">
        <f>C26*D26</f>
        <v/>
      </c>
      <c r="F26" s="39" t="inlineStr">
        <is>
          <t>V1</t>
        </is>
      </c>
      <c r="G26" s="54" t="inlineStr">
        <is>
          <t>Amazon</t>
        </is>
      </c>
      <c r="H26" s="55" t="inlineStr">
        <is>
          <t>Search</t>
        </is>
      </c>
      <c r="I26" s="49" t="inlineStr">
        <is>
          <t>I²C 0x44</t>
        </is>
      </c>
    </row>
    <row r="27" ht="15" customHeight="1" s="27">
      <c r="A27" s="49" t="inlineStr">
        <is>
          <t>Radiation shield</t>
        </is>
      </c>
      <c r="B27" s="49" t="inlineStr">
        <is>
          <t>Solar radiation shield</t>
        </is>
      </c>
      <c r="C27" s="50" t="n">
        <v>1</v>
      </c>
      <c r="D27" s="51" t="n">
        <v>25</v>
      </c>
      <c r="E27" s="52">
        <f>C27*D27</f>
        <v/>
      </c>
      <c r="F27" s="39" t="inlineStr">
        <is>
          <t>V1</t>
        </is>
      </c>
      <c r="G27" s="54" t="inlineStr">
        <is>
          <t>Amazon</t>
        </is>
      </c>
      <c r="H27" s="55" t="inlineStr">
        <is>
          <t>Search</t>
        </is>
      </c>
      <c r="I27" s="49" t="inlineStr">
        <is>
          <t>Keeps sun off the SHT45</t>
        </is>
      </c>
    </row>
    <row r="28" ht="15" customHeight="1" s="27">
      <c r="A28" s="47" t="inlineStr">
        <is>
          <t>Refrigerant hardware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</row>
    <row r="29" ht="26.85" customHeight="1" s="27">
      <c r="A29" s="49" t="inlineStr">
        <is>
          <t>Access valve</t>
        </is>
      </c>
      <c r="B29" s="49" t="inlineStr">
        <is>
          <t>Braze-on 1/4" SAE access valve, sized to line</t>
        </is>
      </c>
      <c r="C29" s="50" t="n">
        <v>1</v>
      </c>
      <c r="D29" s="51" t="n">
        <v>6</v>
      </c>
      <c r="E29" s="52">
        <f>C29*D29</f>
        <v/>
      </c>
      <c r="F29" s="39" t="inlineStr">
        <is>
          <t>V1</t>
        </is>
      </c>
      <c r="G29" s="54" t="inlineStr">
        <is>
          <t>HVAC supply house</t>
        </is>
      </c>
      <c r="H29" s="55" t="inlineStr">
        <is>
          <t>Search</t>
        </is>
      </c>
      <c r="I29" s="49" t="inlineStr">
        <is>
          <t>True suction port; requires brazing + EPA 608</t>
        </is>
      </c>
    </row>
    <row r="30" ht="15" customHeight="1" s="27">
      <c r="A30" s="49" t="inlineStr">
        <is>
          <t>Flare gaskets</t>
        </is>
      </c>
      <c r="B30" s="49" t="inlineStr">
        <is>
          <t>1/4" flare copper gaskets / seals</t>
        </is>
      </c>
      <c r="C30" s="50" t="n">
        <v>1</v>
      </c>
      <c r="D30" s="51" t="n">
        <v>8</v>
      </c>
      <c r="E30" s="52">
        <f>C30*D30</f>
        <v/>
      </c>
      <c r="F30" s="39" t="inlineStr">
        <is>
          <t>V1</t>
        </is>
      </c>
      <c r="G30" s="54" t="inlineStr">
        <is>
          <t>Amazon</t>
        </is>
      </c>
      <c r="H30" s="55" t="inlineStr">
        <is>
          <t>Search</t>
        </is>
      </c>
      <c r="I30" s="49" t="inlineStr">
        <is>
          <t>Pack</t>
        </is>
      </c>
    </row>
    <row r="31" ht="15" customHeight="1" s="27">
      <c r="A31" s="49" t="inlineStr">
        <is>
          <t>Flare hose</t>
        </is>
      </c>
      <c r="B31" s="49" t="inlineStr">
        <is>
          <t>Short 1/4" flare hose, F x M</t>
        </is>
      </c>
      <c r="C31" s="50" t="n">
        <v>3</v>
      </c>
      <c r="D31" s="51" t="n">
        <v>12</v>
      </c>
      <c r="E31" s="52">
        <f>C31*D31</f>
        <v/>
      </c>
      <c r="F31" s="45" t="inlineStr">
        <is>
          <t>Optional</t>
        </is>
      </c>
      <c r="G31" s="54" t="inlineStr">
        <is>
          <t>Amazon</t>
        </is>
      </c>
      <c r="H31" s="55" t="inlineStr">
        <is>
          <t>Search</t>
        </is>
      </c>
      <c r="I31" s="49" t="inlineStr">
        <is>
          <t>Isolates sensors from vibration</t>
        </is>
      </c>
    </row>
    <row r="32" ht="15" customHeight="1" s="27">
      <c r="A32" s="49" t="inlineStr">
        <is>
          <t>Schrader cores &amp; caps</t>
        </is>
      </c>
      <c r="B32" s="49" t="inlineStr">
        <is>
          <t>Spare kit</t>
        </is>
      </c>
      <c r="C32" s="50" t="n">
        <v>1</v>
      </c>
      <c r="D32" s="51" t="n">
        <v>10</v>
      </c>
      <c r="E32" s="52">
        <f>C32*D32</f>
        <v/>
      </c>
      <c r="F32" s="39" t="inlineStr">
        <is>
          <t>V1</t>
        </is>
      </c>
      <c r="G32" s="54" t="inlineStr">
        <is>
          <t>Amazon</t>
        </is>
      </c>
      <c r="H32" s="55" t="inlineStr">
        <is>
          <t>Search</t>
        </is>
      </c>
      <c r="I32" s="49" t="n"/>
    </row>
    <row r="33" ht="15" customHeight="1" s="27">
      <c r="A33" s="47" t="inlineStr">
        <is>
          <t>Enclosure &amp; wiring</t>
        </is>
      </c>
      <c r="B33" s="48" t="n"/>
      <c r="C33" s="48" t="n"/>
      <c r="D33" s="48" t="n"/>
      <c r="E33" s="48" t="n"/>
      <c r="F33" s="48" t="n"/>
      <c r="G33" s="48" t="n"/>
      <c r="H33" s="48" t="n"/>
      <c r="I33" s="48" t="n"/>
    </row>
    <row r="34" ht="15" customHeight="1" s="27">
      <c r="A34" s="49" t="inlineStr">
        <is>
          <t>Enclosure</t>
        </is>
      </c>
      <c r="B34" s="49" t="inlineStr">
        <is>
          <t>IP65 ABS, ~200×150×75 mm</t>
        </is>
      </c>
      <c r="C34" s="50" t="n">
        <v>1</v>
      </c>
      <c r="D34" s="51" t="n">
        <v>25</v>
      </c>
      <c r="E34" s="52">
        <f>C34*D34</f>
        <v/>
      </c>
      <c r="F34" s="39" t="inlineStr">
        <is>
          <t>V1</t>
        </is>
      </c>
      <c r="G34" s="54" t="inlineStr">
        <is>
          <t>Amazon</t>
        </is>
      </c>
      <c r="H34" s="55" t="inlineStr">
        <is>
          <t>Search</t>
        </is>
      </c>
      <c r="I34" s="49" t="inlineStr">
        <is>
          <t>Mount outside compressor compartment</t>
        </is>
      </c>
    </row>
    <row r="35" ht="15" customHeight="1" s="27">
      <c r="A35" s="49" t="inlineStr">
        <is>
          <t>Cable glands</t>
        </is>
      </c>
      <c r="B35" s="49" t="inlineStr">
        <is>
          <t>PG7 / PG9 assortment</t>
        </is>
      </c>
      <c r="C35" s="50" t="n">
        <v>1</v>
      </c>
      <c r="D35" s="51" t="n">
        <v>10</v>
      </c>
      <c r="E35" s="52">
        <f>C35*D35</f>
        <v/>
      </c>
      <c r="F35" s="39" t="inlineStr">
        <is>
          <t>V1</t>
        </is>
      </c>
      <c r="G35" s="54" t="inlineStr">
        <is>
          <t>Amazon</t>
        </is>
      </c>
      <c r="H35" s="55" t="inlineStr">
        <is>
          <t>Search</t>
        </is>
      </c>
      <c r="I35" s="49" t="n"/>
    </row>
    <row r="36" ht="15" customHeight="1" s="27">
      <c r="A36" s="49" t="inlineStr">
        <is>
          <t>Prototype board</t>
        </is>
      </c>
      <c r="B36" s="49" t="inlineStr">
        <is>
          <t>Perfboard / proto PCB</t>
        </is>
      </c>
      <c r="C36" s="50" t="n">
        <v>1</v>
      </c>
      <c r="D36" s="51" t="n">
        <v>8</v>
      </c>
      <c r="E36" s="52">
        <f>C36*D36</f>
        <v/>
      </c>
      <c r="F36" s="39" t="inlineStr">
        <is>
          <t>V1</t>
        </is>
      </c>
      <c r="G36" s="54" t="inlineStr">
        <is>
          <t>Amazon</t>
        </is>
      </c>
      <c r="H36" s="55" t="inlineStr">
        <is>
          <t>Search</t>
        </is>
      </c>
      <c r="I36" s="49" t="n"/>
    </row>
    <row r="37" ht="15" customHeight="1" s="27">
      <c r="A37" s="49" t="inlineStr">
        <is>
          <t>Terminal blocks</t>
        </is>
      </c>
      <c r="B37" s="49" t="inlineStr">
        <is>
          <t>Pluggable 5.08 mm assortment</t>
        </is>
      </c>
      <c r="C37" s="50" t="n">
        <v>1</v>
      </c>
      <c r="D37" s="51" t="n">
        <v>12</v>
      </c>
      <c r="E37" s="52">
        <f>C37*D37</f>
        <v/>
      </c>
      <c r="F37" s="39" t="inlineStr">
        <is>
          <t>V1</t>
        </is>
      </c>
      <c r="G37" s="54" t="inlineStr">
        <is>
          <t>Amazon</t>
        </is>
      </c>
      <c r="H37" s="55" t="inlineStr">
        <is>
          <t>Search</t>
        </is>
      </c>
      <c r="I37" s="49" t="n"/>
    </row>
    <row r="38" ht="15" customHeight="1" s="27">
      <c r="A38" s="49" t="inlineStr">
        <is>
          <t>Sensor cable</t>
        </is>
      </c>
      <c r="B38" s="49" t="inlineStr">
        <is>
          <t>22 AWG shielded 3-cond, 50 ft</t>
        </is>
      </c>
      <c r="C38" s="50" t="n">
        <v>1</v>
      </c>
      <c r="D38" s="51" t="n">
        <v>25</v>
      </c>
      <c r="E38" s="52">
        <f>C38*D38</f>
        <v/>
      </c>
      <c r="F38" s="39" t="inlineStr">
        <is>
          <t>V1</t>
        </is>
      </c>
      <c r="G38" s="54" t="inlineStr">
        <is>
          <t>Amazon</t>
        </is>
      </c>
      <c r="H38" s="55" t="inlineStr">
        <is>
          <t>Search</t>
        </is>
      </c>
      <c r="I38" s="49" t="n"/>
    </row>
    <row r="39" ht="15" customHeight="1" s="27">
      <c r="A39" s="49" t="inlineStr">
        <is>
          <t>Thermostat wire</t>
        </is>
      </c>
      <c r="B39" s="49" t="inlineStr">
        <is>
          <t>18/5, 50 ft</t>
        </is>
      </c>
      <c r="C39" s="50" t="n">
        <v>1</v>
      </c>
      <c r="D39" s="51" t="n">
        <v>30</v>
      </c>
      <c r="E39" s="52">
        <f>C39*D39</f>
        <v/>
      </c>
      <c r="F39" s="39" t="inlineStr">
        <is>
          <t>V1</t>
        </is>
      </c>
      <c r="G39" s="54" t="inlineStr">
        <is>
          <t>Amazon</t>
        </is>
      </c>
      <c r="H39" s="55" t="inlineStr">
        <is>
          <t>Search</t>
        </is>
      </c>
      <c r="I39" s="49" t="n"/>
    </row>
    <row r="40" ht="15" customHeight="1" s="27">
      <c r="A40" s="49" t="inlineStr">
        <is>
          <t>Insulation tape</t>
        </is>
      </c>
      <c r="B40" s="49" t="inlineStr">
        <is>
          <t>Foam pipe insulation tape</t>
        </is>
      </c>
      <c r="C40" s="50" t="n">
        <v>1</v>
      </c>
      <c r="D40" s="51" t="n">
        <v>10</v>
      </c>
      <c r="E40" s="52">
        <f>C40*D40</f>
        <v/>
      </c>
      <c r="F40" s="39" t="inlineStr">
        <is>
          <t>V1</t>
        </is>
      </c>
      <c r="G40" s="54" t="inlineStr">
        <is>
          <t>Amazon</t>
        </is>
      </c>
      <c r="H40" s="55" t="inlineStr">
        <is>
          <t>Search</t>
        </is>
      </c>
      <c r="I40" s="49" t="inlineStr">
        <is>
          <t>Over thermistors</t>
        </is>
      </c>
    </row>
    <row r="41" ht="15" customHeight="1" s="27">
      <c r="A41" s="49" t="inlineStr">
        <is>
          <t>Zip ties</t>
        </is>
      </c>
      <c r="B41" s="49" t="inlineStr">
        <is>
          <t>UV-rated / stainless</t>
        </is>
      </c>
      <c r="C41" s="50" t="n">
        <v>1</v>
      </c>
      <c r="D41" s="51" t="n">
        <v>8</v>
      </c>
      <c r="E41" s="52">
        <f>C41*D41</f>
        <v/>
      </c>
      <c r="F41" s="39" t="inlineStr">
        <is>
          <t>V1</t>
        </is>
      </c>
      <c r="G41" s="54" t="inlineStr">
        <is>
          <t>Amazon</t>
        </is>
      </c>
      <c r="H41" s="55" t="inlineStr">
        <is>
          <t>Search</t>
        </is>
      </c>
      <c r="I41" s="49" t="n"/>
    </row>
    <row r="42" ht="15" customHeight="1" s="27">
      <c r="A42" s="47" t="inlineStr">
        <is>
          <t>Phase 2 electrical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  <row r="43" ht="15" customHeight="1" s="27">
      <c r="A43" s="49" t="inlineStr">
        <is>
          <t>Energy monitor board</t>
        </is>
      </c>
      <c r="B43" s="49" t="inlineStr">
        <is>
          <t>ATM90E32-based (e.g. CircuitSetup)</t>
        </is>
      </c>
      <c r="C43" s="50" t="n">
        <v>1</v>
      </c>
      <c r="D43" s="51" t="n">
        <v>80</v>
      </c>
      <c r="E43" s="52">
        <f>C43*D43</f>
        <v/>
      </c>
      <c r="F43" s="46" t="inlineStr">
        <is>
          <t>Phase 2</t>
        </is>
      </c>
      <c r="G43" s="54" t="inlineStr">
        <is>
          <t>CircuitSetup</t>
        </is>
      </c>
      <c r="H43" s="55" t="inlineStr">
        <is>
          <t>Search</t>
        </is>
      </c>
      <c r="I43" s="49" t="inlineStr">
        <is>
          <t>True RMS current + voltage</t>
        </is>
      </c>
    </row>
    <row r="44" ht="15" customHeight="1" s="27">
      <c r="A44" s="49" t="inlineStr">
        <is>
          <t>Current transformer</t>
        </is>
      </c>
      <c r="B44" s="49" t="inlineStr">
        <is>
          <t>Split-core CT</t>
        </is>
      </c>
      <c r="C44" s="50" t="n">
        <v>3</v>
      </c>
      <c r="D44" s="51" t="n">
        <v>12</v>
      </c>
      <c r="E44" s="52">
        <f>C44*D44</f>
        <v/>
      </c>
      <c r="F44" s="46" t="inlineStr">
        <is>
          <t>Phase 2</t>
        </is>
      </c>
      <c r="G44" s="54" t="inlineStr">
        <is>
          <t>Amazon</t>
        </is>
      </c>
      <c r="H44" s="55" t="inlineStr">
        <is>
          <t>Search</t>
        </is>
      </c>
      <c r="I44" s="49" t="inlineStr">
        <is>
          <t>Compressor common, start winding, condenser fan</t>
        </is>
      </c>
    </row>
    <row r="45" ht="15" customHeight="1" s="27">
      <c r="A45" s="49" t="inlineStr">
        <is>
          <t>Isolated amplifier</t>
        </is>
      </c>
      <c r="B45" s="49" t="inlineStr">
        <is>
          <t>AMC1311 or similar (board)</t>
        </is>
      </c>
      <c r="C45" s="50" t="n">
        <v>2</v>
      </c>
      <c r="D45" s="51" t="n">
        <v>15</v>
      </c>
      <c r="E45" s="52">
        <f>C45*D45</f>
        <v/>
      </c>
      <c r="F45" s="46" t="inlineStr">
        <is>
          <t>Phase 2</t>
        </is>
      </c>
      <c r="G45" s="54" t="inlineStr">
        <is>
          <t>DigiKey</t>
        </is>
      </c>
      <c r="H45" s="55" t="inlineStr">
        <is>
          <t>Search</t>
        </is>
      </c>
      <c r="I45" s="49" t="inlineStr">
        <is>
          <t>Contactor drop + capacitor voltage</t>
        </is>
      </c>
    </row>
    <row r="46" ht="15" customHeight="1" s="27">
      <c r="A46" s="49" t="inlineStr">
        <is>
          <t>HV divider resistors</t>
        </is>
      </c>
      <c r="B46" s="49" t="inlineStr">
        <is>
          <t>High-voltage rated resistor set</t>
        </is>
      </c>
      <c r="C46" s="50" t="n">
        <v>1</v>
      </c>
      <c r="D46" s="51" t="n">
        <v>5</v>
      </c>
      <c r="E46" s="52">
        <f>C46*D46</f>
        <v/>
      </c>
      <c r="F46" s="46" t="inlineStr">
        <is>
          <t>Phase 2</t>
        </is>
      </c>
      <c r="G46" s="54" t="inlineStr">
        <is>
          <t>DigiKey</t>
        </is>
      </c>
      <c r="H46" s="55" t="inlineStr">
        <is>
          <t>Search</t>
        </is>
      </c>
      <c r="I46" s="49" t="n"/>
    </row>
    <row r="47" ht="15" customHeight="1" s="27">
      <c r="A47" s="49" t="inlineStr">
        <is>
          <t>Voltage reference transformer</t>
        </is>
      </c>
      <c r="B47" s="49" t="inlineStr">
        <is>
          <t>9–12 VAC</t>
        </is>
      </c>
      <c r="C47" s="50" t="n">
        <v>1</v>
      </c>
      <c r="D47" s="51" t="n">
        <v>12</v>
      </c>
      <c r="E47" s="52">
        <f>C47*D47</f>
        <v/>
      </c>
      <c r="F47" s="46" t="inlineStr">
        <is>
          <t>Phase 2</t>
        </is>
      </c>
      <c r="G47" s="54" t="inlineStr">
        <is>
          <t>Amazon</t>
        </is>
      </c>
      <c r="H47" s="55" t="inlineStr">
        <is>
          <t>Search</t>
        </is>
      </c>
      <c r="I47" s="49" t="inlineStr">
        <is>
          <t>For energy monitor</t>
        </is>
      </c>
    </row>
    <row r="48" ht="15" customHeight="1" s="27">
      <c r="A48" s="49" t="inlineStr">
        <is>
          <t>Fused test leads / taps</t>
        </is>
      </c>
      <c r="B48" s="49" t="inlineStr">
        <is>
          <t>600 V rated, 1/4" spade</t>
        </is>
      </c>
      <c r="C48" s="50" t="n">
        <v>1</v>
      </c>
      <c r="D48" s="51" t="n">
        <v>20</v>
      </c>
      <c r="E48" s="52">
        <f>C48*D48</f>
        <v/>
      </c>
      <c r="F48" s="46" t="inlineStr">
        <is>
          <t>Phase 2</t>
        </is>
      </c>
      <c r="G48" s="54" t="inlineStr">
        <is>
          <t>Amazon</t>
        </is>
      </c>
      <c r="H48" s="55" t="inlineStr">
        <is>
          <t>Search</t>
        </is>
      </c>
      <c r="I48" s="49" t="n"/>
    </row>
    <row r="49" ht="15" customHeight="1" s="27">
      <c r="A49" s="49" t="inlineStr">
        <is>
          <t>HV barrier</t>
        </is>
      </c>
      <c r="B49" s="49" t="inlineStr">
        <is>
          <t>Separate compartment / insulating barrier</t>
        </is>
      </c>
      <c r="C49" s="50" t="n">
        <v>1</v>
      </c>
      <c r="D49" s="51" t="n">
        <v>10</v>
      </c>
      <c r="E49" s="52">
        <f>C49*D49</f>
        <v/>
      </c>
      <c r="F49" s="46" t="inlineStr">
        <is>
          <t>Phase 2</t>
        </is>
      </c>
      <c r="G49" s="54" t="inlineStr">
        <is>
          <t>Fabricate</t>
        </is>
      </c>
      <c r="H49" s="54" t="n"/>
      <c r="I49" s="49" t="inlineStr">
        <is>
          <t>Isolate line voltage from low voltage</t>
        </is>
      </c>
    </row>
    <row r="51" ht="15" customHeight="1" s="27">
      <c r="D51" s="42" t="inlineStr">
        <is>
          <t>Total</t>
        </is>
      </c>
      <c r="E51" s="43">
        <f>SUM(E5:E49)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9" display="Search" r:id="rId3"/>
    <hyperlink xmlns:r="http://schemas.openxmlformats.org/officeDocument/2006/relationships" ref="H10" display="Search" r:id="rId4"/>
    <hyperlink xmlns:r="http://schemas.openxmlformats.org/officeDocument/2006/relationships" ref="H11" display="Search" r:id="rId5"/>
    <hyperlink xmlns:r="http://schemas.openxmlformats.org/officeDocument/2006/relationships" ref="H12" display="Search" r:id="rId6"/>
    <hyperlink xmlns:r="http://schemas.openxmlformats.org/officeDocument/2006/relationships" ref="H14" display="Search" r:id="rId7"/>
    <hyperlink xmlns:r="http://schemas.openxmlformats.org/officeDocument/2006/relationships" ref="H15" display="Search" r:id="rId8"/>
    <hyperlink xmlns:r="http://schemas.openxmlformats.org/officeDocument/2006/relationships" ref="H16" display="Search" r:id="rId9"/>
    <hyperlink xmlns:r="http://schemas.openxmlformats.org/officeDocument/2006/relationships" ref="H17" display="Search" r:id="rId10"/>
    <hyperlink xmlns:r="http://schemas.openxmlformats.org/officeDocument/2006/relationships" ref="H18" display="Search" r:id="rId11"/>
    <hyperlink xmlns:r="http://schemas.openxmlformats.org/officeDocument/2006/relationships" ref="H20" display="Search" r:id="rId12"/>
    <hyperlink xmlns:r="http://schemas.openxmlformats.org/officeDocument/2006/relationships" ref="H21" display="Search" r:id="rId13"/>
    <hyperlink xmlns:r="http://schemas.openxmlformats.org/officeDocument/2006/relationships" ref="H22" display="Search" r:id="rId14"/>
    <hyperlink xmlns:r="http://schemas.openxmlformats.org/officeDocument/2006/relationships" ref="H23" display="Search" r:id="rId15"/>
    <hyperlink xmlns:r="http://schemas.openxmlformats.org/officeDocument/2006/relationships" ref="H24" display="Search" r:id="rId16"/>
    <hyperlink xmlns:r="http://schemas.openxmlformats.org/officeDocument/2006/relationships" ref="H26" display="Search" r:id="rId17"/>
    <hyperlink xmlns:r="http://schemas.openxmlformats.org/officeDocument/2006/relationships" ref="H27" display="Search" r:id="rId18"/>
    <hyperlink xmlns:r="http://schemas.openxmlformats.org/officeDocument/2006/relationships" ref="H29" display="Search" r:id="rId19"/>
    <hyperlink xmlns:r="http://schemas.openxmlformats.org/officeDocument/2006/relationships" ref="H30" display="Search" r:id="rId20"/>
    <hyperlink xmlns:r="http://schemas.openxmlformats.org/officeDocument/2006/relationships" ref="H31" display="Search" r:id="rId21"/>
    <hyperlink xmlns:r="http://schemas.openxmlformats.org/officeDocument/2006/relationships" ref="H32" display="Search" r:id="rId22"/>
    <hyperlink xmlns:r="http://schemas.openxmlformats.org/officeDocument/2006/relationships" ref="H34" display="Search" r:id="rId23"/>
    <hyperlink xmlns:r="http://schemas.openxmlformats.org/officeDocument/2006/relationships" ref="H35" display="Search" r:id="rId24"/>
    <hyperlink xmlns:r="http://schemas.openxmlformats.org/officeDocument/2006/relationships" ref="H36" display="Search" r:id="rId25"/>
    <hyperlink xmlns:r="http://schemas.openxmlformats.org/officeDocument/2006/relationships" ref="H37" display="Search" r:id="rId26"/>
    <hyperlink xmlns:r="http://schemas.openxmlformats.org/officeDocument/2006/relationships" ref="H38" display="Search" r:id="rId27"/>
    <hyperlink xmlns:r="http://schemas.openxmlformats.org/officeDocument/2006/relationships" ref="H39" display="Search" r:id="rId28"/>
    <hyperlink xmlns:r="http://schemas.openxmlformats.org/officeDocument/2006/relationships" ref="H40" display="Search" r:id="rId29"/>
    <hyperlink xmlns:r="http://schemas.openxmlformats.org/officeDocument/2006/relationships" ref="H41" display="Search" r:id="rId30"/>
    <hyperlink xmlns:r="http://schemas.openxmlformats.org/officeDocument/2006/relationships" ref="H43" display="Search" r:id="rId31"/>
    <hyperlink xmlns:r="http://schemas.openxmlformats.org/officeDocument/2006/relationships" ref="H44" display="Search" r:id="rId32"/>
    <hyperlink xmlns:r="http://schemas.openxmlformats.org/officeDocument/2006/relationships" ref="H45" display="Search" r:id="rId33"/>
    <hyperlink xmlns:r="http://schemas.openxmlformats.org/officeDocument/2006/relationships" ref="H46" display="Search" r:id="rId34"/>
    <hyperlink xmlns:r="http://schemas.openxmlformats.org/officeDocument/2006/relationships" ref="H47" display="Search" r:id="rId35"/>
    <hyperlink xmlns:r="http://schemas.openxmlformats.org/officeDocument/2006/relationships" ref="H48" display="Search" r:id="rId3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Indoor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Controller &amp; interface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ESP32 dev board</t>
        </is>
      </c>
      <c r="B6" s="49" t="inlineStr">
        <is>
          <t>ESP32-WROOM-32U (external antenna)</t>
        </is>
      </c>
      <c r="C6" s="50" t="n">
        <v>1</v>
      </c>
      <c r="D6" s="51" t="n">
        <v>10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Furnace cabinet blocks WiFi</t>
        </is>
      </c>
    </row>
    <row r="7" ht="15" customHeight="1" s="27">
      <c r="A7" s="49" t="inlineStr">
        <is>
          <t>Antenna + pigtail</t>
        </is>
      </c>
      <c r="B7" s="49" t="inlineStr">
        <is>
          <t>2.4 GHz antenna, u.FL to RP-SMA</t>
        </is>
      </c>
      <c r="C7" s="50" t="n">
        <v>1</v>
      </c>
      <c r="D7" s="51" t="n">
        <v>8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Power supply kit</t>
        </is>
      </c>
      <c r="B8" s="49" t="inlineStr">
        <is>
          <t>See 'Power Kit' sheet</t>
        </is>
      </c>
      <c r="C8" s="50" t="n">
        <v>1</v>
      </c>
      <c r="D8" s="44">
        <f>'Power Kit'!$E$15</f>
        <v/>
      </c>
      <c r="E8" s="52">
        <f>C8*D8</f>
        <v/>
      </c>
      <c r="F8" s="39" t="inlineStr">
        <is>
          <t>V1</t>
        </is>
      </c>
      <c r="G8" s="54" t="inlineStr">
        <is>
          <t>Built in-house</t>
        </is>
      </c>
      <c r="H8" s="54" t="n"/>
      <c r="I8" s="49" t="inlineStr">
        <is>
          <t>Cost links to Power Kit sheet</t>
        </is>
      </c>
    </row>
    <row r="9" ht="15" customHeight="1" s="27">
      <c r="A9" s="49" t="inlineStr">
        <is>
          <t>I²C multiplexer</t>
        </is>
      </c>
      <c r="B9" s="49" t="inlineStr">
        <is>
          <t>TCA9548A</t>
        </is>
      </c>
      <c r="C9" s="50" t="n">
        <v>1</v>
      </c>
      <c r="D9" s="51" t="n">
        <v>6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SDP810s share one address</t>
        </is>
      </c>
    </row>
    <row r="10" ht="15" customHeight="1" s="27">
      <c r="A10" s="49" t="inlineStr">
        <is>
          <t>AC-input optocoupler</t>
        </is>
      </c>
      <c r="B10" s="49" t="inlineStr">
        <is>
          <t>H11AA1</t>
        </is>
      </c>
      <c r="C10" s="50" t="n">
        <v>4</v>
      </c>
      <c r="D10" s="51" t="n">
        <v>0.8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inlineStr">
        <is>
          <t>Y, W, G, O/B</t>
        </is>
      </c>
    </row>
    <row r="11" ht="15" customHeight="1" s="27">
      <c r="A11" s="49" t="inlineStr">
        <is>
          <t>Opto series resistor</t>
        </is>
      </c>
      <c r="B11" s="49" t="inlineStr">
        <is>
          <t>4.7k ½ W</t>
        </is>
      </c>
      <c r="C11" s="50" t="n">
        <v>4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One per opto input</t>
        </is>
      </c>
    </row>
    <row r="12" ht="15" customHeight="1" s="27">
      <c r="A12" s="49" t="inlineStr">
        <is>
          <t>Opto pull-up resistor</t>
        </is>
      </c>
      <c r="B12" s="49" t="inlineStr">
        <is>
          <t>10k ¼ W</t>
        </is>
      </c>
      <c r="C12" s="50" t="n">
        <v>4</v>
      </c>
      <c r="D12" s="51" t="n">
        <v>0.05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One per opto output</t>
        </is>
      </c>
    </row>
    <row r="13" ht="15" customHeight="1" s="27">
      <c r="A13" s="49" t="inlineStr">
        <is>
          <t>I²C extender</t>
        </is>
      </c>
      <c r="B13" s="49" t="inlineStr">
        <is>
          <t>PCA9615 differential I²C</t>
        </is>
      </c>
      <c r="C13" s="50" t="n">
        <v>2</v>
      </c>
      <c r="D13" s="51" t="n">
        <v>12</v>
      </c>
      <c r="E13" s="52">
        <f>C13*D13</f>
        <v/>
      </c>
      <c r="F13" s="45" t="inlineStr">
        <is>
          <t>Optional</t>
        </is>
      </c>
      <c r="G13" s="54" t="inlineStr">
        <is>
          <t>Amazon</t>
        </is>
      </c>
      <c r="H13" s="55" t="inlineStr">
        <is>
          <t>Search</t>
        </is>
      </c>
      <c r="I13" s="49" t="inlineStr">
        <is>
          <t>For runs over ~1 m</t>
        </is>
      </c>
    </row>
    <row r="14" ht="15" customHeight="1" s="27">
      <c r="A14" s="47" t="inlineStr">
        <is>
          <t>Air sensors</t>
        </is>
      </c>
      <c r="B14" s="48" t="n"/>
      <c r="C14" s="48" t="n"/>
      <c r="D14" s="48" t="n"/>
      <c r="E14" s="48" t="n"/>
      <c r="F14" s="48" t="n"/>
      <c r="G14" s="48" t="n"/>
      <c r="H14" s="48" t="n"/>
      <c r="I14" s="48" t="n"/>
    </row>
    <row r="15" ht="15" customHeight="1" s="27">
      <c r="A15" s="49" t="inlineStr">
        <is>
          <t>Duct temp/humidity probe</t>
        </is>
      </c>
      <c r="B15" s="49" t="inlineStr">
        <is>
          <t>SHT45 probe with PTFE membrane</t>
        </is>
      </c>
      <c r="C15" s="50" t="n">
        <v>2</v>
      </c>
      <c r="D15" s="51" t="n">
        <v>25</v>
      </c>
      <c r="E15" s="52">
        <f>C15*D15</f>
        <v/>
      </c>
      <c r="F15" s="39" t="inlineStr">
        <is>
          <t>V1</t>
        </is>
      </c>
      <c r="G15" s="54" t="inlineStr">
        <is>
          <t>Amazon</t>
        </is>
      </c>
      <c r="H15" s="55" t="inlineStr">
        <is>
          <t>Search</t>
        </is>
      </c>
      <c r="I15" s="49" t="inlineStr">
        <is>
          <t>Supply + return</t>
        </is>
      </c>
    </row>
    <row r="16" ht="15" customHeight="1" s="27">
      <c r="A16" s="49" t="inlineStr">
        <is>
          <t>Differential pressure sensor</t>
        </is>
      </c>
      <c r="B16" s="49" t="inlineStr">
        <is>
          <t>Sensirion SDP810-500Pa</t>
        </is>
      </c>
      <c r="C16" s="50" t="n">
        <v>3</v>
      </c>
      <c r="D16" s="51" t="n">
        <v>45</v>
      </c>
      <c r="E16" s="52">
        <f>C16*D16</f>
        <v/>
      </c>
      <c r="F16" s="39" t="inlineStr">
        <is>
          <t>V1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Return, furnace-to-coil, supply</t>
        </is>
      </c>
    </row>
    <row r="17" ht="15" customHeight="1" s="27">
      <c r="A17" s="49" t="inlineStr">
        <is>
          <t>Static pressure tip</t>
        </is>
      </c>
      <c r="B17" s="49" t="inlineStr">
        <is>
          <t>Dwyer A-301 style</t>
        </is>
      </c>
      <c r="C17" s="50" t="n">
        <v>3</v>
      </c>
      <c r="D17" s="51" t="n">
        <v>15</v>
      </c>
      <c r="E17" s="52">
        <f>C17*D17</f>
        <v/>
      </c>
      <c r="F17" s="39" t="inlineStr">
        <is>
          <t>V1</t>
        </is>
      </c>
      <c r="G17" s="54" t="inlineStr">
        <is>
          <t>HVAC supply house</t>
        </is>
      </c>
      <c r="H17" s="55" t="inlineStr">
        <is>
          <t>Search</t>
        </is>
      </c>
      <c r="I17" s="49" t="n"/>
    </row>
    <row r="18" ht="15" customHeight="1" s="27">
      <c r="A18" s="49" t="inlineStr">
        <is>
          <t>Grommets</t>
        </is>
      </c>
      <c r="B18" s="49" t="inlineStr">
        <is>
          <t>Rubber grommets for tips</t>
        </is>
      </c>
      <c r="C18" s="50" t="n">
        <v>1</v>
      </c>
      <c r="D18" s="51" t="n">
        <v>5</v>
      </c>
      <c r="E18" s="52">
        <f>C18*D18</f>
        <v/>
      </c>
      <c r="F18" s="39" t="inlineStr">
        <is>
          <t>V1</t>
        </is>
      </c>
      <c r="G18" s="54" t="inlineStr">
        <is>
          <t>Amazon</t>
        </is>
      </c>
      <c r="H18" s="55" t="inlineStr">
        <is>
          <t>Search</t>
        </is>
      </c>
      <c r="I18" s="49" t="n"/>
    </row>
    <row r="19" ht="15" customHeight="1" s="27">
      <c r="A19" s="49" t="inlineStr">
        <is>
          <t>Silicone tubing</t>
        </is>
      </c>
      <c r="B19" s="49" t="inlineStr">
        <is>
          <t>3/16" ID, ~10 ft</t>
        </is>
      </c>
      <c r="C19" s="50" t="n">
        <v>1</v>
      </c>
      <c r="D19" s="51" t="n">
        <v>10</v>
      </c>
      <c r="E19" s="52">
        <f>C19*D19</f>
        <v/>
      </c>
      <c r="F19" s="39" t="inlineStr">
        <is>
          <t>V1</t>
        </is>
      </c>
      <c r="G19" s="54" t="inlineStr">
        <is>
          <t>Amazon</t>
        </is>
      </c>
      <c r="H19" s="55" t="inlineStr">
        <is>
          <t>Search</t>
        </is>
      </c>
      <c r="I19" s="49" t="n"/>
    </row>
    <row r="20" ht="15" customHeight="1" s="27">
      <c r="A20" s="49" t="inlineStr">
        <is>
          <t>Filter pressure sensor</t>
        </is>
      </c>
      <c r="B20" s="49" t="inlineStr">
        <is>
          <t>SDP810-500Pa</t>
        </is>
      </c>
      <c r="C20" s="50" t="n">
        <v>1</v>
      </c>
      <c r="D20" s="51" t="n">
        <v>45</v>
      </c>
      <c r="E20" s="52">
        <f>C20*D20</f>
        <v/>
      </c>
      <c r="F20" s="45" t="inlineStr">
        <is>
          <t>Optional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Filter pressure drop</t>
        </is>
      </c>
    </row>
    <row r="21" ht="15" customHeight="1" s="27">
      <c r="A21" s="49" t="inlineStr">
        <is>
          <t>Filter static tip</t>
        </is>
      </c>
      <c r="B21" s="49" t="inlineStr">
        <is>
          <t>Dwyer A-301 style</t>
        </is>
      </c>
      <c r="C21" s="50" t="n">
        <v>1</v>
      </c>
      <c r="D21" s="51" t="n">
        <v>15</v>
      </c>
      <c r="E21" s="52">
        <f>C21*D21</f>
        <v/>
      </c>
      <c r="F21" s="45" t="inlineStr">
        <is>
          <t>Optional</t>
        </is>
      </c>
      <c r="G21" s="54" t="inlineStr">
        <is>
          <t>HVAC supply house</t>
        </is>
      </c>
      <c r="H21" s="55" t="inlineStr">
        <is>
          <t>Search</t>
        </is>
      </c>
      <c r="I21" s="49" t="n"/>
    </row>
    <row r="22" ht="15" customHeight="1" s="27">
      <c r="A22" s="47" t="inlineStr">
        <is>
          <t>Enclosure &amp; wiring</t>
        </is>
      </c>
      <c r="B22" s="48" t="n"/>
      <c r="C22" s="48" t="n"/>
      <c r="D22" s="48" t="n"/>
      <c r="E22" s="48" t="n"/>
      <c r="F22" s="48" t="n"/>
      <c r="G22" s="48" t="n"/>
      <c r="H22" s="48" t="n"/>
      <c r="I22" s="48" t="n"/>
    </row>
    <row r="23" ht="15" customHeight="1" s="27">
      <c r="A23" s="49" t="inlineStr">
        <is>
          <t>Enclosure</t>
        </is>
      </c>
      <c r="B23" s="49" t="inlineStr">
        <is>
          <t>ABS project box</t>
        </is>
      </c>
      <c r="C23" s="50" t="n">
        <v>1</v>
      </c>
      <c r="D23" s="51" t="n">
        <v>15</v>
      </c>
      <c r="E23" s="52">
        <f>C23*D23</f>
        <v/>
      </c>
      <c r="F23" s="39" t="inlineStr">
        <is>
          <t>V1</t>
        </is>
      </c>
      <c r="G23" s="54" t="inlineStr">
        <is>
          <t>Amazon</t>
        </is>
      </c>
      <c r="H23" s="55" t="inlineStr">
        <is>
          <t>Search</t>
        </is>
      </c>
      <c r="I23" s="49" t="n"/>
    </row>
    <row r="24" ht="15" customHeight="1" s="27">
      <c r="A24" s="49" t="inlineStr">
        <is>
          <t>I²C cable</t>
        </is>
      </c>
      <c r="B24" s="49" t="inlineStr">
        <is>
          <t>22 AWG shielded 4-cond, 50 ft</t>
        </is>
      </c>
      <c r="C24" s="50" t="n">
        <v>1</v>
      </c>
      <c r="D24" s="51" t="n">
        <v>25</v>
      </c>
      <c r="E24" s="52">
        <f>C24*D24</f>
        <v/>
      </c>
      <c r="F24" s="39" t="inlineStr">
        <is>
          <t>V1</t>
        </is>
      </c>
      <c r="G24" s="54" t="inlineStr">
        <is>
          <t>Amazon</t>
        </is>
      </c>
      <c r="H24" s="55" t="inlineStr">
        <is>
          <t>Search</t>
        </is>
      </c>
      <c r="I24" s="49" t="n"/>
    </row>
    <row r="25" ht="15" customHeight="1" s="27">
      <c r="A25" s="49" t="inlineStr">
        <is>
          <t>Thermostat wire</t>
        </is>
      </c>
      <c r="B25" s="49" t="inlineStr">
        <is>
          <t>18/5, 50 ft</t>
        </is>
      </c>
      <c r="C25" s="50" t="n">
        <v>1</v>
      </c>
      <c r="D25" s="51" t="n">
        <v>30</v>
      </c>
      <c r="E25" s="52">
        <f>C25*D25</f>
        <v/>
      </c>
      <c r="F25" s="39" t="inlineStr">
        <is>
          <t>V1</t>
        </is>
      </c>
      <c r="G25" s="54" t="inlineStr">
        <is>
          <t>Amazon</t>
        </is>
      </c>
      <c r="H25" s="55" t="inlineStr">
        <is>
          <t>Search</t>
        </is>
      </c>
      <c r="I25" s="49" t="n"/>
    </row>
    <row r="26" ht="15" customHeight="1" s="27">
      <c r="A26" s="49" t="inlineStr">
        <is>
          <t>Glands, terminals, perfboard</t>
        </is>
      </c>
      <c r="B26" s="49" t="inlineStr">
        <is>
          <t>Assortment</t>
        </is>
      </c>
      <c r="C26" s="50" t="n">
        <v>1</v>
      </c>
      <c r="D26" s="51" t="n">
        <v>20</v>
      </c>
      <c r="E26" s="52">
        <f>C26*D26</f>
        <v/>
      </c>
      <c r="F26" s="39" t="inlineStr">
        <is>
          <t>V1</t>
        </is>
      </c>
      <c r="G26" s="54" t="inlineStr">
        <is>
          <t>Amazon</t>
        </is>
      </c>
      <c r="H26" s="55" t="inlineStr">
        <is>
          <t>Search</t>
        </is>
      </c>
      <c r="I26" s="49" t="n"/>
    </row>
    <row r="27" ht="15" customHeight="1" s="27">
      <c r="A27" s="47" t="inlineStr">
        <is>
          <t>Phase 2 electrical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  <row r="28" ht="15" customHeight="1" s="27">
      <c r="A28" s="49" t="inlineStr">
        <is>
          <t>Energy monitor board</t>
        </is>
      </c>
      <c r="B28" s="49" t="inlineStr">
        <is>
          <t>ATM90E32-based</t>
        </is>
      </c>
      <c r="C28" s="50" t="n">
        <v>1</v>
      </c>
      <c r="D28" s="51" t="n">
        <v>80</v>
      </c>
      <c r="E28" s="52">
        <f>C28*D28</f>
        <v/>
      </c>
      <c r="F28" s="46" t="inlineStr">
        <is>
          <t>Phase 2</t>
        </is>
      </c>
      <c r="G28" s="54" t="inlineStr">
        <is>
          <t>CircuitSetup</t>
        </is>
      </c>
      <c r="H28" s="55" t="inlineStr">
        <is>
          <t>Search</t>
        </is>
      </c>
      <c r="I28" s="49" t="n"/>
    </row>
    <row r="29" ht="15" customHeight="1" s="27">
      <c r="A29" s="49" t="inlineStr">
        <is>
          <t>Current transformer</t>
        </is>
      </c>
      <c r="B29" s="49" t="inlineStr">
        <is>
          <t>Split-core CT</t>
        </is>
      </c>
      <c r="C29" s="50" t="n">
        <v>2</v>
      </c>
      <c r="D29" s="51" t="n">
        <v>12</v>
      </c>
      <c r="E29" s="52">
        <f>C29*D29</f>
        <v/>
      </c>
      <c r="F29" s="46" t="inlineStr">
        <is>
          <t>Phase 2</t>
        </is>
      </c>
      <c r="G29" s="54" t="inlineStr">
        <is>
          <t>Amazon</t>
        </is>
      </c>
      <c r="H29" s="55" t="inlineStr">
        <is>
          <t>Search</t>
        </is>
      </c>
      <c r="I29" s="49" t="inlineStr">
        <is>
          <t>Blower + inducer (inducer optional)</t>
        </is>
      </c>
    </row>
    <row r="30" ht="15" customHeight="1" s="27">
      <c r="A30" s="49" t="inlineStr">
        <is>
          <t>Isolated amplifier</t>
        </is>
      </c>
      <c r="B30" s="49" t="inlineStr">
        <is>
          <t>AMC1311 or similar</t>
        </is>
      </c>
      <c r="C30" s="50" t="n">
        <v>1</v>
      </c>
      <c r="D30" s="51" t="n">
        <v>15</v>
      </c>
      <c r="E30" s="52">
        <f>C30*D30</f>
        <v/>
      </c>
      <c r="F30" s="46" t="inlineStr">
        <is>
          <t>Phase 2</t>
        </is>
      </c>
      <c r="G30" s="54" t="inlineStr">
        <is>
          <t>DigiKey</t>
        </is>
      </c>
      <c r="H30" s="55" t="inlineStr">
        <is>
          <t>Search</t>
        </is>
      </c>
      <c r="I30" s="49" t="inlineStr">
        <is>
          <t>PSC blower capacitor voltage</t>
        </is>
      </c>
    </row>
    <row r="31" ht="15" customHeight="1" s="27">
      <c r="A31" s="49" t="inlineStr">
        <is>
          <t>Voltage reference transformer</t>
        </is>
      </c>
      <c r="B31" s="49" t="inlineStr">
        <is>
          <t>Matched to 120 or 240 V equipment</t>
        </is>
      </c>
      <c r="C31" s="50" t="n">
        <v>1</v>
      </c>
      <c r="D31" s="51" t="n">
        <v>12</v>
      </c>
      <c r="E31" s="52">
        <f>C31*D31</f>
        <v/>
      </c>
      <c r="F31" s="46" t="inlineStr">
        <is>
          <t>Phase 2</t>
        </is>
      </c>
      <c r="G31" s="54" t="inlineStr">
        <is>
          <t>Amazon</t>
        </is>
      </c>
      <c r="H31" s="55" t="inlineStr">
        <is>
          <t>Search</t>
        </is>
      </c>
      <c r="I31" s="49" t="n"/>
    </row>
    <row r="33" ht="15" customHeight="1" s="27">
      <c r="D33" s="42" t="inlineStr">
        <is>
          <t>Total</t>
        </is>
      </c>
      <c r="E33" s="43">
        <f>SUM(E5:E31)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9" display="Search" r:id="rId3"/>
    <hyperlink xmlns:r="http://schemas.openxmlformats.org/officeDocument/2006/relationships" ref="H10" display="Search" r:id="rId4"/>
    <hyperlink xmlns:r="http://schemas.openxmlformats.org/officeDocument/2006/relationships" ref="H11" display="Search" r:id="rId5"/>
    <hyperlink xmlns:r="http://schemas.openxmlformats.org/officeDocument/2006/relationships" ref="H12" display="Search" r:id="rId6"/>
    <hyperlink xmlns:r="http://schemas.openxmlformats.org/officeDocument/2006/relationships" ref="H13" display="Search" r:id="rId7"/>
    <hyperlink xmlns:r="http://schemas.openxmlformats.org/officeDocument/2006/relationships" ref="H15" display="Search" r:id="rId8"/>
    <hyperlink xmlns:r="http://schemas.openxmlformats.org/officeDocument/2006/relationships" ref="H16" display="Search" r:id="rId9"/>
    <hyperlink xmlns:r="http://schemas.openxmlformats.org/officeDocument/2006/relationships" ref="H17" display="Search" r:id="rId10"/>
    <hyperlink xmlns:r="http://schemas.openxmlformats.org/officeDocument/2006/relationships" ref="H18" display="Search" r:id="rId11"/>
    <hyperlink xmlns:r="http://schemas.openxmlformats.org/officeDocument/2006/relationships" ref="H19" display="Search" r:id="rId12"/>
    <hyperlink xmlns:r="http://schemas.openxmlformats.org/officeDocument/2006/relationships" ref="H20" display="Search" r:id="rId13"/>
    <hyperlink xmlns:r="http://schemas.openxmlformats.org/officeDocument/2006/relationships" ref="H21" display="Search" r:id="rId14"/>
    <hyperlink xmlns:r="http://schemas.openxmlformats.org/officeDocument/2006/relationships" ref="H23" display="Search" r:id="rId15"/>
    <hyperlink xmlns:r="http://schemas.openxmlformats.org/officeDocument/2006/relationships" ref="H24" display="Search" r:id="rId16"/>
    <hyperlink xmlns:r="http://schemas.openxmlformats.org/officeDocument/2006/relationships" ref="H25" display="Search" r:id="rId17"/>
    <hyperlink xmlns:r="http://schemas.openxmlformats.org/officeDocument/2006/relationships" ref="H26" display="Search" r:id="rId18"/>
    <hyperlink xmlns:r="http://schemas.openxmlformats.org/officeDocument/2006/relationships" ref="H28" display="Search" r:id="rId19"/>
    <hyperlink xmlns:r="http://schemas.openxmlformats.org/officeDocument/2006/relationships" ref="H29" display="Search" r:id="rId20"/>
    <hyperlink xmlns:r="http://schemas.openxmlformats.org/officeDocument/2006/relationships" ref="H30" display="Search" r:id="rId21"/>
    <hyperlink xmlns:r="http://schemas.openxmlformats.org/officeDocument/2006/relationships" ref="H31" display="Search" r:id="rId2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7" min="1" max="1"/>
    <col width="40" customWidth="1" style="27" min="2" max="2"/>
    <col width="6" customWidth="1" style="27" min="3" max="3"/>
    <col width="14" customWidth="1" style="27" min="4" max="4"/>
    <col width="13" customWidth="1" style="27" min="5" max="5"/>
    <col width="10" customWidth="1" style="27" min="6" max="6"/>
    <col width="16" customWidth="1" style="27" min="7" max="7"/>
    <col width="14" customWidth="1" style="27" min="8" max="8"/>
    <col width="48" customWidth="1" style="27" min="9" max="9"/>
  </cols>
  <sheetData>
    <row r="1">
      <c r="A1" s="56" t="inlineStr">
        <is>
          <t>Outdoor Carrier Rev B — Board Parts List</t>
        </is>
      </c>
    </row>
    <row r="2">
      <c r="A2" s="57" t="inlineStr">
        <is>
          <t>Blue = editable estimate. Prices are approximate single-unit retail (Oct 2026); links are supplier search pages.</t>
        </is>
      </c>
    </row>
    <row r="3">
      <c r="A3" s="57" t="inlineStr">
        <is>
          <t>Everything on the rev B outdoor board, from hardware/outdoor-carrier/fab/outdoor-carrier-BOM.csv (branch claude/rev-b). Refs match the silkscreen. Sensors that plug in are on the Outdoor Node sheet, except the CT clamps.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>
      <c r="A5" s="47" t="inlineStr">
        <is>
          <t>Board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>
      <c r="A6" s="49" t="inlineStr">
        <is>
          <t>Bare PCB</t>
        </is>
      </c>
      <c r="B6" s="49" t="inlineStr">
        <is>
          <t>Outdoor carrier rev B, 100 × 100 mm, 2-layer 1.6 mm</t>
        </is>
      </c>
      <c r="C6" s="50" t="n">
        <v>1</v>
      </c>
      <c r="D6" s="51" t="n">
        <v>2</v>
      </c>
      <c r="E6" s="52">
        <f>C6*D6</f>
        <v/>
      </c>
      <c r="F6" s="39" t="inlineStr">
        <is>
          <t>V1</t>
        </is>
      </c>
      <c r="G6" s="54" t="inlineStr">
        <is>
          <t>JLCPCB</t>
        </is>
      </c>
      <c r="H6" s="55" t="inlineStr">
        <is>
          <t>Search</t>
        </is>
      </c>
      <c r="I6" s="49" t="inlineStr">
        <is>
          <t>Upload fab/outdoor-carrier-JLCPCB-gerbers.zip. About $2 for 5 boards at this size, plus shipping</t>
        </is>
      </c>
    </row>
    <row r="7">
      <c r="A7" s="47" t="inlineStr">
        <is>
          <t>Plug-in modules and sockets</t>
        </is>
      </c>
      <c r="B7" s="48" t="n"/>
      <c r="C7" s="48" t="n"/>
      <c r="D7" s="48" t="n"/>
      <c r="E7" s="48" t="n"/>
      <c r="F7" s="48" t="n"/>
      <c r="G7" s="48" t="n"/>
      <c r="H7" s="48" t="n"/>
      <c r="I7" s="48" t="n"/>
    </row>
    <row r="8">
      <c r="A8" s="49" t="inlineStr">
        <is>
          <t>ESP32 dev board</t>
        </is>
      </c>
      <c r="B8" s="49" t="inlineStr">
        <is>
          <t>ESP32 DevKit 30-pin, ESP-WROOM-32 (U1)</t>
        </is>
      </c>
      <c r="C8" s="50" t="n">
        <v>1</v>
      </c>
      <c r="D8" s="51" t="n">
        <v>10</v>
      </c>
      <c r="E8" s="52">
        <f>C8*D8</f>
        <v/>
      </c>
      <c r="F8" s="39" t="inlineStr">
        <is>
          <t>V1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Same board as rev A; antenna end overhangs the left edge</t>
        </is>
      </c>
    </row>
    <row r="9">
      <c r="A9" s="49" t="inlineStr">
        <is>
          <t>Buck converter module</t>
        </is>
      </c>
      <c r="B9" s="49" t="inlineStr">
        <is>
          <t>LM2596HV (60 V input) (U2)</t>
        </is>
      </c>
      <c r="C9" s="50" t="n">
        <v>1</v>
      </c>
      <c r="D9" s="51" t="n">
        <v>4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Set to 5.00 V before plugging in</t>
        </is>
      </c>
    </row>
    <row r="10">
      <c r="A10" s="49" t="inlineStr">
        <is>
          <t>ADC module</t>
        </is>
      </c>
      <c r="B10" s="49" t="inlineStr">
        <is>
          <t>ADS1115 16-bit, 4-ch (U3 0x48, U4 0x49)</t>
        </is>
      </c>
      <c r="C10" s="50" t="n">
        <v>2</v>
      </c>
      <c r="D10" s="51" t="n">
        <v>6</v>
      </c>
      <c r="E10" s="52">
        <f>C10*D10</f>
        <v/>
      </c>
      <c r="F10" s="39" t="inlineStr">
        <is>
          <t>V1</t>
        </is>
      </c>
      <c r="G10" s="54" t="inlineStr">
        <is>
          <t>Amazon</t>
        </is>
      </c>
      <c r="H10" s="55" t="inlineStr">
        <is>
          <t>Search</t>
        </is>
      </c>
      <c r="I10" s="49" t="n"/>
    </row>
    <row r="11">
      <c r="A11" s="49" t="inlineStr">
        <is>
          <t>LoRa radio module</t>
        </is>
      </c>
      <c r="B11" s="49" t="inlineStr">
        <is>
          <t>Seeed Wio-SX1262 with u.FL (U7)</t>
        </is>
      </c>
      <c r="C11" s="50" t="n">
        <v>1</v>
      </c>
      <c r="D11" s="51" t="n">
        <v>9</v>
      </c>
      <c r="E11" s="52">
        <f>C11*D11</f>
        <v/>
      </c>
      <c r="F11" s="39" t="inlineStr">
        <is>
          <t>LoRa</t>
        </is>
      </c>
      <c r="G11" s="54" t="inlineStr">
        <is>
          <t>Seeed</t>
        </is>
      </c>
      <c r="H11" s="55" t="inlineStr">
        <is>
          <t>Search</t>
        </is>
      </c>
      <c r="I11" s="49" t="inlineStr">
        <is>
          <t>Solders onto the board (castellated pads). Antenna + pigtail are on the LoRa Radio sheet</t>
        </is>
      </c>
    </row>
    <row r="12">
      <c r="A12" s="49" t="inlineStr">
        <is>
          <t>AC-input optocoupler</t>
        </is>
      </c>
      <c r="B12" s="49" t="inlineStr">
        <is>
          <t>H11AA1 (U5, U6)</t>
        </is>
      </c>
      <c r="C12" s="50" t="n">
        <v>2</v>
      </c>
      <c r="D12" s="51" t="n">
        <v>0.8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Y and O/B</t>
        </is>
      </c>
    </row>
    <row r="13">
      <c r="A13" s="49" t="inlineStr">
        <is>
          <t>Female header 1×15</t>
        </is>
      </c>
      <c r="B13" s="49" t="inlineStr">
        <is>
          <t>2.54 mm pitch</t>
        </is>
      </c>
      <c r="C13" s="50" t="n">
        <v>2</v>
      </c>
      <c r="D13" s="51" t="n">
        <v>0.6</v>
      </c>
      <c r="E13" s="52">
        <f>C13*D13</f>
        <v/>
      </c>
      <c r="F13" s="39" t="inlineStr">
        <is>
          <t>V1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ESP32 sockets</t>
        </is>
      </c>
    </row>
    <row r="14">
      <c r="A14" s="49" t="inlineStr">
        <is>
          <t>Female header 1×10</t>
        </is>
      </c>
      <c r="B14" s="49" t="inlineStr">
        <is>
          <t>2.54 mm pitch</t>
        </is>
      </c>
      <c r="C14" s="50" t="n">
        <v>2</v>
      </c>
      <c r="D14" s="51" t="n">
        <v>0.5</v>
      </c>
      <c r="E14" s="52">
        <f>C14*D14</f>
        <v/>
      </c>
      <c r="F14" s="39" t="inlineStr">
        <is>
          <t>V1</t>
        </is>
      </c>
      <c r="G14" s="54" t="inlineStr">
        <is>
          <t>DigiKey</t>
        </is>
      </c>
      <c r="H14" s="55" t="inlineStr">
        <is>
          <t>Search</t>
        </is>
      </c>
      <c r="I14" s="49" t="inlineStr">
        <is>
          <t>ADS1115 sockets</t>
        </is>
      </c>
    </row>
    <row r="15">
      <c r="A15" s="49" t="inlineStr">
        <is>
          <t>Single-pin socket</t>
        </is>
      </c>
      <c r="B15" s="49" t="inlineStr">
        <is>
          <t>2.54 mm female header, 1 pin (or cut from a strip)</t>
        </is>
      </c>
      <c r="C15" s="50" t="n">
        <v>4</v>
      </c>
      <c r="D15" s="51" t="n">
        <v>0.2</v>
      </c>
      <c r="E15" s="52">
        <f>C15*D15</f>
        <v/>
      </c>
      <c r="F15" s="39" t="inlineStr">
        <is>
          <t>V1</t>
        </is>
      </c>
      <c r="G15" s="54" t="inlineStr">
        <is>
          <t>DigiKey</t>
        </is>
      </c>
      <c r="H15" s="55" t="inlineStr">
        <is>
          <t>Search</t>
        </is>
      </c>
      <c r="I15" s="49" t="inlineStr">
        <is>
          <t>LM2596 module corners</t>
        </is>
      </c>
    </row>
    <row r="16">
      <c r="A16" s="49" t="inlineStr">
        <is>
          <t>DIP-6 socket</t>
        </is>
      </c>
      <c r="B16" s="49" t="inlineStr">
        <is>
          <t>7.62 mm</t>
        </is>
      </c>
      <c r="C16" s="50" t="n">
        <v>2</v>
      </c>
      <c r="D16" s="51" t="n">
        <v>0.2</v>
      </c>
      <c r="E16" s="52">
        <f>C16*D16</f>
        <v/>
      </c>
      <c r="F16" s="39" t="inlineStr">
        <is>
          <t>V1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Optos</t>
        </is>
      </c>
    </row>
    <row r="17">
      <c r="A17" s="47" t="inlineStr">
        <is>
          <t>24 VAC supply and radio regulator</t>
        </is>
      </c>
      <c r="B17" s="48" t="n"/>
      <c r="C17" s="48" t="n"/>
      <c r="D17" s="48" t="n"/>
      <c r="E17" s="48" t="n"/>
      <c r="F17" s="48" t="n"/>
      <c r="G17" s="48" t="n"/>
      <c r="H17" s="48" t="n"/>
      <c r="I17" s="48" t="n"/>
    </row>
    <row r="18">
      <c r="A18" s="49" t="inlineStr">
        <is>
          <t>Fuse clips</t>
        </is>
      </c>
      <c r="B18" s="49" t="inlineStr">
        <is>
          <t>Littelfuse 111 series, 5×20 mm PCB clip (F1)</t>
        </is>
      </c>
      <c r="C18" s="50" t="n">
        <v>2</v>
      </c>
      <c r="D18" s="51" t="n">
        <v>0.3</v>
      </c>
      <c r="E18" s="52">
        <f>C18*D18</f>
        <v/>
      </c>
      <c r="F18" s="39" t="inlineStr">
        <is>
          <t>V1</t>
        </is>
      </c>
      <c r="G18" s="54" t="inlineStr">
        <is>
          <t>DigiKey</t>
        </is>
      </c>
      <c r="H18" s="55" t="inlineStr">
        <is>
          <t>Search</t>
        </is>
      </c>
      <c r="I18" s="49" t="inlineStr">
        <is>
          <t>Two per fuse</t>
        </is>
      </c>
    </row>
    <row r="19">
      <c r="A19" s="49" t="inlineStr">
        <is>
          <t>Fuse</t>
        </is>
      </c>
      <c r="B19" s="49" t="inlineStr">
        <is>
          <t>0.5 A fast-blow, 5×20 mm</t>
        </is>
      </c>
      <c r="C19" s="50" t="n">
        <v>1</v>
      </c>
      <c r="D19" s="51" t="n">
        <v>0.3</v>
      </c>
      <c r="E19" s="52">
        <f>C19*D19</f>
        <v/>
      </c>
      <c r="F19" s="39" t="inlineStr">
        <is>
          <t>V1</t>
        </is>
      </c>
      <c r="G19" s="54" t="inlineStr">
        <is>
          <t>DigiKey</t>
        </is>
      </c>
      <c r="H19" s="55" t="inlineStr">
        <is>
          <t>Search</t>
        </is>
      </c>
      <c r="I19" s="49" t="n"/>
    </row>
    <row r="20">
      <c r="A20" s="49" t="inlineStr">
        <is>
          <t>TVS diode</t>
        </is>
      </c>
      <c r="B20" s="49" t="inlineStr">
        <is>
          <t>SMBJ48CA bidirectional (D1)</t>
        </is>
      </c>
      <c r="C20" s="50" t="n">
        <v>1</v>
      </c>
      <c r="D20" s="51" t="n">
        <v>0.5</v>
      </c>
      <c r="E20" s="52">
        <f>C20*D20</f>
        <v/>
      </c>
      <c r="F20" s="39" t="inlineStr">
        <is>
          <t>V1</t>
        </is>
      </c>
      <c r="G20" s="54" t="inlineStr">
        <is>
          <t>DigiKey</t>
        </is>
      </c>
      <c r="H20" s="55" t="inlineStr">
        <is>
          <t>Search</t>
        </is>
      </c>
      <c r="I20" s="49" t="n"/>
    </row>
    <row r="21">
      <c r="A21" s="49" t="inlineStr">
        <is>
          <t>Rectifier diode</t>
        </is>
      </c>
      <c r="B21" s="49" t="inlineStr">
        <is>
          <t>1N4007 (D2)</t>
        </is>
      </c>
      <c r="C21" s="50" t="n">
        <v>1</v>
      </c>
      <c r="D21" s="51" t="n">
        <v>0.1</v>
      </c>
      <c r="E21" s="52">
        <f>C21*D21</f>
        <v/>
      </c>
      <c r="F21" s="39" t="inlineStr">
        <is>
          <t>V1</t>
        </is>
      </c>
      <c r="G21" s="54" t="inlineStr">
        <is>
          <t>DigiKey</t>
        </is>
      </c>
      <c r="H21" s="55" t="inlineStr">
        <is>
          <t>Search</t>
        </is>
      </c>
      <c r="I21" s="49" t="n"/>
    </row>
    <row r="22">
      <c r="A22" s="49" t="inlineStr">
        <is>
          <t>Bulk capacitor</t>
        </is>
      </c>
      <c r="B22" s="49" t="inlineStr">
        <is>
          <t>470 µF 63 V electrolytic, 10 mm, 5 mm pitch (C1)</t>
        </is>
      </c>
      <c r="C22" s="50" t="n">
        <v>1</v>
      </c>
      <c r="D22" s="51" t="n">
        <v>0.6</v>
      </c>
      <c r="E22" s="52">
        <f>C22*D22</f>
        <v/>
      </c>
      <c r="F22" s="39" t="inlineStr">
        <is>
          <t>V1</t>
        </is>
      </c>
      <c r="G22" s="54" t="inlineStr">
        <is>
          <t>DigiKey</t>
        </is>
      </c>
      <c r="H22" s="55" t="inlineStr">
        <is>
          <t>Search</t>
        </is>
      </c>
      <c r="I22" s="49" t="n"/>
    </row>
    <row r="23">
      <c r="A23" s="49" t="inlineStr">
        <is>
          <t>Radio regulator</t>
        </is>
      </c>
      <c r="B23" s="49" t="inlineStr">
        <is>
          <t>AMS1117-3.3, SOT-223 (U8)</t>
        </is>
      </c>
      <c r="C23" s="50" t="n">
        <v>1</v>
      </c>
      <c r="D23" s="51" t="n">
        <v>0.3</v>
      </c>
      <c r="E23" s="52">
        <f>C23*D23</f>
        <v/>
      </c>
      <c r="F23" s="39" t="inlineStr">
        <is>
          <t>LoRa</t>
        </is>
      </c>
      <c r="G23" s="54" t="inlineStr">
        <is>
          <t>DigiKey</t>
        </is>
      </c>
      <c r="H23" s="55" t="inlineStr">
        <is>
          <t>Search</t>
        </is>
      </c>
      <c r="I23" s="49" t="inlineStr">
        <is>
          <t>Radio-only 3.3 V rail</t>
        </is>
      </c>
    </row>
    <row r="24">
      <c r="A24" s="49" t="inlineStr">
        <is>
          <t>Electrolytic capacitor</t>
        </is>
      </c>
      <c r="B24" s="49" t="inlineStr">
        <is>
          <t>10 µF 16 V, 5 mm, 2 mm pitch (C11, C15)</t>
        </is>
      </c>
      <c r="C24" s="50" t="n">
        <v>2</v>
      </c>
      <c r="D24" s="51" t="n">
        <v>0.1</v>
      </c>
      <c r="E24" s="52">
        <f>C24*D24</f>
        <v/>
      </c>
      <c r="F24" s="39" t="inlineStr">
        <is>
          <t>V1</t>
        </is>
      </c>
      <c r="G24" s="54" t="inlineStr">
        <is>
          <t>DigiKey</t>
        </is>
      </c>
      <c r="H24" s="55" t="inlineStr">
        <is>
          <t>Search</t>
        </is>
      </c>
      <c r="I24" s="49" t="inlineStr">
        <is>
          <t>C11 CT bias, C15 regulator input</t>
        </is>
      </c>
    </row>
    <row r="25">
      <c r="A25" s="49" t="inlineStr">
        <is>
          <t>Electrolytic capacitor</t>
        </is>
      </c>
      <c r="B25" s="49" t="inlineStr">
        <is>
          <t>22 µF 10 V, 5 mm, 2 mm pitch (C16)</t>
        </is>
      </c>
      <c r="C25" s="50" t="n">
        <v>1</v>
      </c>
      <c r="D25" s="51" t="n">
        <v>0.1</v>
      </c>
      <c r="E25" s="52">
        <f>C25*D25</f>
        <v/>
      </c>
      <c r="F25" s="39" t="inlineStr">
        <is>
          <t>LoRa</t>
        </is>
      </c>
      <c r="G25" s="54" t="inlineStr">
        <is>
          <t>DigiKey</t>
        </is>
      </c>
      <c r="H25" s="55" t="inlineStr">
        <is>
          <t>Search</t>
        </is>
      </c>
      <c r="I25" s="49" t="inlineStr">
        <is>
          <t>Regulator output</t>
        </is>
      </c>
    </row>
    <row r="26">
      <c r="A26" s="49" t="inlineStr">
        <is>
          <t>SETUP button</t>
        </is>
      </c>
      <c r="B26" s="49" t="inlineStr">
        <is>
          <t>6 × 6 mm tact switch, 5 mm tall, THT (SW1)</t>
        </is>
      </c>
      <c r="C26" s="50" t="n">
        <v>1</v>
      </c>
      <c r="D26" s="51" t="n">
        <v>0.1</v>
      </c>
      <c r="E26" s="52">
        <f>C26*D26</f>
        <v/>
      </c>
      <c r="F26" s="39" t="inlineStr">
        <is>
          <t>V1</t>
        </is>
      </c>
      <c r="G26" s="54" t="inlineStr">
        <is>
          <t>DigiKey</t>
        </is>
      </c>
      <c r="H26" s="55" t="inlineStr">
        <is>
          <t>Search</t>
        </is>
      </c>
      <c r="I26" s="49" t="inlineStr">
        <is>
          <t>Pressed through the lid by the printed plunger</t>
        </is>
      </c>
    </row>
    <row r="27">
      <c r="A27" s="47" t="inlineStr">
        <is>
          <t>Through-hole passives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  <row r="28">
      <c r="A28" s="49" t="inlineStr">
        <is>
          <t>Disc capacitor</t>
        </is>
      </c>
      <c r="B28" s="49" t="inlineStr">
        <is>
          <t>0.1 µF 50 V ceramic, 2.5 mm pitch (C2–C10, C17)</t>
        </is>
      </c>
      <c r="C28" s="50" t="n">
        <v>10</v>
      </c>
      <c r="D28" s="51" t="n">
        <v>0.1</v>
      </c>
      <c r="E28" s="52">
        <f>C28*D28</f>
        <v/>
      </c>
      <c r="F28" s="39" t="inlineStr">
        <is>
          <t>V1</t>
        </is>
      </c>
      <c r="G28" s="54" t="inlineStr">
        <is>
          <t>DigiKey</t>
        </is>
      </c>
      <c r="H28" s="55" t="inlineStr">
        <is>
          <t>Search</t>
        </is>
      </c>
      <c r="I28" s="49" t="inlineStr">
        <is>
          <t>Bypass and ADC input filters</t>
        </is>
      </c>
    </row>
    <row r="29">
      <c r="A29" s="49" t="inlineStr">
        <is>
          <t>Divider resistor</t>
        </is>
      </c>
      <c r="B29" s="49" t="inlineStr">
        <is>
          <t>10k 1% ¼ W metal film (R1–R8)</t>
        </is>
      </c>
      <c r="C29" s="50" t="n">
        <v>8</v>
      </c>
      <c r="D29" s="51" t="n">
        <v>0.05</v>
      </c>
      <c r="E29" s="52">
        <f>C29*D29</f>
        <v/>
      </c>
      <c r="F29" s="39" t="inlineStr">
        <is>
          <t>V1</t>
        </is>
      </c>
      <c r="G29" s="54" t="inlineStr">
        <is>
          <t>DigiKey</t>
        </is>
      </c>
      <c r="H29" s="55" t="inlineStr">
        <is>
          <t>Search</t>
        </is>
      </c>
      <c r="I29" s="49" t="inlineStr">
        <is>
          <t>Three pressure dividers + 5 V rail monitor, all 10k</t>
        </is>
      </c>
    </row>
    <row r="30">
      <c r="A30" s="49" t="inlineStr">
        <is>
          <t>Thermistor reference resistor</t>
        </is>
      </c>
      <c r="B30" s="49" t="inlineStr">
        <is>
          <t>10k 0.1% ¼ W (R9, R10, R15, R16)</t>
        </is>
      </c>
      <c r="C30" s="50" t="n">
        <v>4</v>
      </c>
      <c r="D30" s="51" t="n">
        <v>0.5</v>
      </c>
      <c r="E30" s="52">
        <f>C30*D30</f>
        <v/>
      </c>
      <c r="F30" s="39" t="inlineStr">
        <is>
          <t>V1</t>
        </is>
      </c>
      <c r="G30" s="54" t="inlineStr">
        <is>
          <t>DigiKey</t>
        </is>
      </c>
      <c r="H30" s="55" t="inlineStr">
        <is>
          <t>Search</t>
        </is>
      </c>
      <c r="I30" s="49" t="inlineStr">
        <is>
          <t>One per thermistor input, incl. discharge</t>
        </is>
      </c>
    </row>
    <row r="31">
      <c r="A31" s="49" t="inlineStr">
        <is>
          <t>Opto series resistor</t>
        </is>
      </c>
      <c r="B31" s="49" t="inlineStr">
        <is>
          <t>4.7k ½ W (R11, R13)</t>
        </is>
      </c>
      <c r="C31" s="50" t="n">
        <v>2</v>
      </c>
      <c r="D31" s="51" t="n">
        <v>0.1</v>
      </c>
      <c r="E31" s="52">
        <f>C31*D31</f>
        <v/>
      </c>
      <c r="F31" s="39" t="inlineStr">
        <is>
          <t>V1</t>
        </is>
      </c>
      <c r="G31" s="54" t="inlineStr">
        <is>
          <t>DigiKey</t>
        </is>
      </c>
      <c r="H31" s="55" t="inlineStr">
        <is>
          <t>Search</t>
        </is>
      </c>
      <c r="I31" s="49" t="n"/>
    </row>
    <row r="32">
      <c r="A32" s="49" t="inlineStr">
        <is>
          <t>Opto pull-up resistor</t>
        </is>
      </c>
      <c r="B32" s="49" t="inlineStr">
        <is>
          <t>10k ¼ W (R12, R14)</t>
        </is>
      </c>
      <c r="C32" s="50" t="n">
        <v>2</v>
      </c>
      <c r="D32" s="51" t="n">
        <v>0.05</v>
      </c>
      <c r="E32" s="52">
        <f>C32*D32</f>
        <v/>
      </c>
      <c r="F32" s="39" t="inlineStr">
        <is>
          <t>V1</t>
        </is>
      </c>
      <c r="G32" s="54" t="inlineStr">
        <is>
          <t>DigiKey</t>
        </is>
      </c>
      <c r="H32" s="55" t="inlineStr">
        <is>
          <t>Search</t>
        </is>
      </c>
      <c r="I32" s="49" t="n"/>
    </row>
    <row r="33">
      <c r="A33" s="47" t="inlineStr">
        <is>
          <t>CT inputs (electrical module version 1)</t>
        </is>
      </c>
      <c r="B33" s="48" t="n"/>
      <c r="C33" s="48" t="n"/>
      <c r="D33" s="48" t="n"/>
      <c r="E33" s="48" t="n"/>
      <c r="F33" s="48" t="n"/>
      <c r="G33" s="48" t="n"/>
      <c r="H33" s="48" t="n"/>
      <c r="I33" s="48" t="n"/>
    </row>
    <row r="34">
      <c r="A34" s="49" t="inlineStr">
        <is>
          <t>3.5 mm jack</t>
        </is>
      </c>
      <c r="B34" s="49" t="inlineStr">
        <is>
          <t>CUI SJ1-3523N, horizontal (J11–J13)</t>
        </is>
      </c>
      <c r="C34" s="50" t="n">
        <v>3</v>
      </c>
      <c r="D34" s="51" t="n">
        <v>1</v>
      </c>
      <c r="E34" s="52">
        <f>C34*D34</f>
        <v/>
      </c>
      <c r="F34" s="39" t="inlineStr">
        <is>
          <t>Phase 2</t>
        </is>
      </c>
      <c r="G34" s="54" t="inlineStr">
        <is>
          <t>DigiKey</t>
        </is>
      </c>
      <c r="H34" s="55" t="inlineStr">
        <is>
          <t>Search</t>
        </is>
      </c>
      <c r="I34" s="49" t="inlineStr">
        <is>
          <t>Left board edge; plugs go through the box wall</t>
        </is>
      </c>
    </row>
    <row r="35">
      <c r="A35" s="49" t="inlineStr">
        <is>
          <t>Bias resistor</t>
        </is>
      </c>
      <c r="B35" s="49" t="inlineStr">
        <is>
          <t>10k 1% 0805 (R17)</t>
        </is>
      </c>
      <c r="C35" s="50" t="n">
        <v>1</v>
      </c>
      <c r="D35" s="51" t="n">
        <v>0.05</v>
      </c>
      <c r="E35" s="52">
        <f>C35*D35</f>
        <v/>
      </c>
      <c r="F35" s="39" t="inlineStr">
        <is>
          <t>Phase 2</t>
        </is>
      </c>
      <c r="G35" s="54" t="inlineStr">
        <is>
          <t>DigiKey</t>
        </is>
      </c>
      <c r="H35" s="55" t="inlineStr">
        <is>
          <t>Search</t>
        </is>
      </c>
      <c r="I35" s="49" t="inlineStr">
        <is>
          <t>CT_BIAS 1.34 V</t>
        </is>
      </c>
    </row>
    <row r="36">
      <c r="A36" s="49" t="inlineStr">
        <is>
          <t>Bias resistor</t>
        </is>
      </c>
      <c r="B36" s="49" t="inlineStr">
        <is>
          <t>6.8k 1% 0805 (R18)</t>
        </is>
      </c>
      <c r="C36" s="50" t="n">
        <v>1</v>
      </c>
      <c r="D36" s="51" t="n">
        <v>0.05</v>
      </c>
      <c r="E36" s="52">
        <f>C36*D36</f>
        <v/>
      </c>
      <c r="F36" s="39" t="inlineStr">
        <is>
          <t>Phase 2</t>
        </is>
      </c>
      <c r="G36" s="54" t="inlineStr">
        <is>
          <t>DigiKey</t>
        </is>
      </c>
      <c r="H36" s="55" t="inlineStr">
        <is>
          <t>Search</t>
        </is>
      </c>
      <c r="I36" s="49" t="n"/>
    </row>
    <row r="37">
      <c r="A37" s="49" t="inlineStr">
        <is>
          <t>Burden resistor</t>
        </is>
      </c>
      <c r="B37" s="49" t="inlineStr">
        <is>
          <t>18 Ω 1% 0805 (R19)</t>
        </is>
      </c>
      <c r="C37" s="50" t="n">
        <v>1</v>
      </c>
      <c r="D37" s="51" t="n">
        <v>0.05</v>
      </c>
      <c r="E37" s="52">
        <f>C37*D37</f>
        <v/>
      </c>
      <c r="F37" s="39" t="inlineStr">
        <is>
          <t>Phase 2</t>
        </is>
      </c>
      <c r="G37" s="54" t="inlineStr">
        <is>
          <t>DigiKey</t>
        </is>
      </c>
      <c r="H37" s="55" t="inlineStr">
        <is>
          <t>Search</t>
        </is>
      </c>
      <c r="I37" s="49" t="inlineStr">
        <is>
          <t>CT1 only. R21/R23 stay empty for the voltage-output clamps</t>
        </is>
      </c>
    </row>
    <row r="38">
      <c r="A38" s="49" t="inlineStr">
        <is>
          <t>Series resistor</t>
        </is>
      </c>
      <c r="B38" s="49" t="inlineStr">
        <is>
          <t>1k 0805 (R20, R22, R24)</t>
        </is>
      </c>
      <c r="C38" s="50" t="n">
        <v>3</v>
      </c>
      <c r="D38" s="51" t="n">
        <v>0.05</v>
      </c>
      <c r="E38" s="52">
        <f>C38*D38</f>
        <v/>
      </c>
      <c r="F38" s="39" t="inlineStr">
        <is>
          <t>Phase 2</t>
        </is>
      </c>
      <c r="G38" s="54" t="inlineStr">
        <is>
          <t>DigiKey</t>
        </is>
      </c>
      <c r="H38" s="55" t="inlineStr">
        <is>
          <t>Search</t>
        </is>
      </c>
      <c r="I38" s="49" t="n"/>
    </row>
    <row r="39">
      <c r="A39" s="49" t="inlineStr">
        <is>
          <t>Filter capacitor</t>
        </is>
      </c>
      <c r="B39" s="49" t="inlineStr">
        <is>
          <t>10 nF 0805 (C12–C14)</t>
        </is>
      </c>
      <c r="C39" s="50" t="n">
        <v>3</v>
      </c>
      <c r="D39" s="51" t="n">
        <v>0.05</v>
      </c>
      <c r="E39" s="52">
        <f>C39*D39</f>
        <v/>
      </c>
      <c r="F39" s="39" t="inlineStr">
        <is>
          <t>Phase 2</t>
        </is>
      </c>
      <c r="G39" s="54" t="inlineStr">
        <is>
          <t>DigiKey</t>
        </is>
      </c>
      <c r="H39" s="55" t="inlineStr">
        <is>
          <t>Search</t>
        </is>
      </c>
      <c r="I39" s="49" t="n"/>
    </row>
    <row r="40">
      <c r="A40" s="49" t="inlineStr">
        <is>
          <t>CT clamp, compressor</t>
        </is>
      </c>
      <c r="B40" s="49" t="inlineStr">
        <is>
          <t>SCT-013-000, 100 A : 50 mA</t>
        </is>
      </c>
      <c r="C40" s="50" t="n">
        <v>1</v>
      </c>
      <c r="D40" s="51" t="n">
        <v>9</v>
      </c>
      <c r="E40" s="52">
        <f>C40*D40</f>
        <v/>
      </c>
      <c r="F40" s="39" t="inlineStr">
        <is>
          <t>Phase 2</t>
        </is>
      </c>
      <c r="G40" s="54" t="inlineStr">
        <is>
          <t>Amazon</t>
        </is>
      </c>
      <c r="H40" s="55" t="inlineStr">
        <is>
          <t>Search</t>
        </is>
      </c>
      <c r="I40" s="49" t="inlineStr">
        <is>
          <t>Plugs into J11 (CT1)</t>
        </is>
      </c>
    </row>
    <row r="41">
      <c r="A41" s="49" t="inlineStr">
        <is>
          <t>CT clamp, condenser fan</t>
        </is>
      </c>
      <c r="B41" s="49" t="inlineStr">
        <is>
          <t>SCT-013-005, 5 A : 1 V</t>
        </is>
      </c>
      <c r="C41" s="50" t="n">
        <v>1</v>
      </c>
      <c r="D41" s="51" t="n">
        <v>9</v>
      </c>
      <c r="E41" s="52">
        <f>C41*D41</f>
        <v/>
      </c>
      <c r="F41" s="39" t="inlineStr">
        <is>
          <t>Phase 2</t>
        </is>
      </c>
      <c r="G41" s="54" t="inlineStr">
        <is>
          <t>Amazon</t>
        </is>
      </c>
      <c r="H41" s="55" t="inlineStr">
        <is>
          <t>Search</t>
        </is>
      </c>
      <c r="I41" s="49" t="inlineStr">
        <is>
          <t>Plugs into J12 (CT2)</t>
        </is>
      </c>
    </row>
    <row r="42">
      <c r="A42" s="49" t="inlineStr">
        <is>
          <t>CT clamp, HERM lead</t>
        </is>
      </c>
      <c r="B42" s="49" t="inlineStr">
        <is>
          <t>SCT-013-010, 10 A : 1 V</t>
        </is>
      </c>
      <c r="C42" s="50" t="n">
        <v>1</v>
      </c>
      <c r="D42" s="51" t="n">
        <v>9</v>
      </c>
      <c r="E42" s="52">
        <f>C42*D42</f>
        <v/>
      </c>
      <c r="F42" s="39" t="inlineStr">
        <is>
          <t>Phase 2</t>
        </is>
      </c>
      <c r="G42" s="54" t="inlineStr">
        <is>
          <t>Amazon</t>
        </is>
      </c>
      <c r="H42" s="55" t="inlineStr">
        <is>
          <t>Search</t>
        </is>
      </c>
      <c r="I42" s="49" t="inlineStr">
        <is>
          <t>Plugs into J13 (CT3)</t>
        </is>
      </c>
    </row>
    <row r="43">
      <c r="A43" s="47" t="inlineStr">
        <is>
          <t>Connectors</t>
        </is>
      </c>
      <c r="B43" s="48" t="n"/>
      <c r="C43" s="48" t="n"/>
      <c r="D43" s="48" t="n"/>
      <c r="E43" s="48" t="n"/>
      <c r="F43" s="48" t="n"/>
      <c r="G43" s="48" t="n"/>
      <c r="H43" s="48" t="n"/>
      <c r="I43" s="48" t="n"/>
    </row>
    <row r="44">
      <c r="A44" s="49" t="inlineStr">
        <is>
          <t>Terminal header, 2-pos</t>
        </is>
      </c>
      <c r="B44" s="49" t="inlineStr">
        <is>
          <t>Phoenix MC 1,5/2-G-5,08 (J1, J2)</t>
        </is>
      </c>
      <c r="C44" s="50" t="n">
        <v>2</v>
      </c>
      <c r="D44" s="51" t="n">
        <v>1.2</v>
      </c>
      <c r="E44" s="52">
        <f>C44*D44</f>
        <v/>
      </c>
      <c r="F44" s="39" t="inlineStr">
        <is>
          <t>V1</t>
        </is>
      </c>
      <c r="G44" s="54" t="inlineStr">
        <is>
          <t>DigiKey</t>
        </is>
      </c>
      <c r="H44" s="55" t="inlineStr">
        <is>
          <t>Search</t>
        </is>
      </c>
      <c r="I44" s="49" t="inlineStr">
        <is>
          <t>24 VAC in; Y and O/B</t>
        </is>
      </c>
    </row>
    <row r="45">
      <c r="A45" s="49" t="inlineStr">
        <is>
          <t>Terminal plug, 2-pos</t>
        </is>
      </c>
      <c r="B45" s="49" t="inlineStr">
        <is>
          <t>Phoenix MC 1,5/2-ST-5,08</t>
        </is>
      </c>
      <c r="C45" s="50" t="n">
        <v>2</v>
      </c>
      <c r="D45" s="51" t="n">
        <v>1.5</v>
      </c>
      <c r="E45" s="52">
        <f>C45*D45</f>
        <v/>
      </c>
      <c r="F45" s="39" t="inlineStr">
        <is>
          <t>V1</t>
        </is>
      </c>
      <c r="G45" s="54" t="inlineStr">
        <is>
          <t>DigiKey</t>
        </is>
      </c>
      <c r="H45" s="55" t="inlineStr">
        <is>
          <t>Search</t>
        </is>
      </c>
      <c r="I45" s="49" t="inlineStr">
        <is>
          <t>Mates J1, J2</t>
        </is>
      </c>
    </row>
    <row r="46">
      <c r="A46" s="49" t="inlineStr">
        <is>
          <t>Terminal header, 4-pos</t>
        </is>
      </c>
      <c r="B46" s="49" t="inlineStr">
        <is>
          <t>Phoenix MC 1,5/4-G-5,08 (J8)</t>
        </is>
      </c>
      <c r="C46" s="50" t="n">
        <v>1</v>
      </c>
      <c r="D46" s="51" t="n">
        <v>2</v>
      </c>
      <c r="E46" s="52">
        <f>C46*D46</f>
        <v/>
      </c>
      <c r="F46" s="39" t="inlineStr">
        <is>
          <t>V1</t>
        </is>
      </c>
      <c r="G46" s="54" t="inlineStr">
        <is>
          <t>DigiKey</t>
        </is>
      </c>
      <c r="H46" s="55" t="inlineStr">
        <is>
          <t>Search</t>
        </is>
      </c>
      <c r="I46" s="49" t="inlineStr">
        <is>
          <t>SHT30 probe</t>
        </is>
      </c>
    </row>
    <row r="47">
      <c r="A47" s="49" t="inlineStr">
        <is>
          <t>Terminal plug, 4-pos</t>
        </is>
      </c>
      <c r="B47" s="49" t="inlineStr">
        <is>
          <t>Phoenix MC 1,5/4-ST-5,08</t>
        </is>
      </c>
      <c r="C47" s="50" t="n">
        <v>1</v>
      </c>
      <c r="D47" s="51" t="n">
        <v>2.5</v>
      </c>
      <c r="E47" s="52">
        <f>C47*D47</f>
        <v/>
      </c>
      <c r="F47" s="39" t="inlineStr">
        <is>
          <t>V1</t>
        </is>
      </c>
      <c r="G47" s="54" t="inlineStr">
        <is>
          <t>DigiKey</t>
        </is>
      </c>
      <c r="H47" s="55" t="inlineStr">
        <is>
          <t>Search</t>
        </is>
      </c>
      <c r="I47" s="49" t="inlineStr">
        <is>
          <t>Mates J8</t>
        </is>
      </c>
    </row>
    <row r="48">
      <c r="A48" s="49" t="inlineStr">
        <is>
          <t>JST-XH header, 3-pin</t>
        </is>
      </c>
      <c r="B48" s="49" t="inlineStr">
        <is>
          <t>B3B-XH-A (J3–J5)</t>
        </is>
      </c>
      <c r="C48" s="50" t="n">
        <v>3</v>
      </c>
      <c r="D48" s="51" t="n">
        <v>0.15</v>
      </c>
      <c r="E48" s="52">
        <f>C48*D48</f>
        <v/>
      </c>
      <c r="F48" s="39" t="inlineStr">
        <is>
          <t>V1</t>
        </is>
      </c>
      <c r="G48" s="54" t="inlineStr">
        <is>
          <t>DigiKey</t>
        </is>
      </c>
      <c r="H48" s="55" t="inlineStr">
        <is>
          <t>Search</t>
        </is>
      </c>
      <c r="I48" s="49" t="inlineStr">
        <is>
          <t>Pressure transducers</t>
        </is>
      </c>
    </row>
    <row r="49">
      <c r="A49" s="49" t="inlineStr">
        <is>
          <t>JST-XH header, 2-pin</t>
        </is>
      </c>
      <c r="B49" s="49" t="inlineStr">
        <is>
          <t>B2B-XH-A (J6, J7, J9, J10)</t>
        </is>
      </c>
      <c r="C49" s="50" t="n">
        <v>4</v>
      </c>
      <c r="D49" s="51" t="n">
        <v>0.12</v>
      </c>
      <c r="E49" s="52">
        <f>C49*D49</f>
        <v/>
      </c>
      <c r="F49" s="39" t="inlineStr">
        <is>
          <t>V1</t>
        </is>
      </c>
      <c r="G49" s="54" t="inlineStr">
        <is>
          <t>DigiKey</t>
        </is>
      </c>
      <c r="H49" s="55" t="inlineStr">
        <is>
          <t>Search</t>
        </is>
      </c>
      <c r="I49" s="49" t="inlineStr">
        <is>
          <t>Thermistors</t>
        </is>
      </c>
    </row>
    <row r="50">
      <c r="A50" s="49" t="inlineStr">
        <is>
          <t>JST-XH housing, 3-pin</t>
        </is>
      </c>
      <c r="B50" s="49" t="inlineStr">
        <is>
          <t>XHP-3 + SXH-001T-P0.6 crimps</t>
        </is>
      </c>
      <c r="C50" s="50" t="n">
        <v>3</v>
      </c>
      <c r="D50" s="51" t="n">
        <v>0.2</v>
      </c>
      <c r="E50" s="52">
        <f>C50*D50</f>
        <v/>
      </c>
      <c r="F50" s="39" t="inlineStr">
        <is>
          <t>V1</t>
        </is>
      </c>
      <c r="G50" s="54" t="inlineStr">
        <is>
          <t>DigiKey</t>
        </is>
      </c>
      <c r="H50" s="55" t="inlineStr">
        <is>
          <t>Search</t>
        </is>
      </c>
      <c r="I50" s="49" t="inlineStr">
        <is>
          <t>Cable side</t>
        </is>
      </c>
    </row>
    <row r="51">
      <c r="A51" s="49" t="inlineStr">
        <is>
          <t>JST-XH housing, 2-pin</t>
        </is>
      </c>
      <c r="B51" s="49" t="inlineStr">
        <is>
          <t>XHP-2 + SXH-001T-P0.6 crimps</t>
        </is>
      </c>
      <c r="C51" s="50" t="n">
        <v>4</v>
      </c>
      <c r="D51" s="51" t="n">
        <v>0.15</v>
      </c>
      <c r="E51" s="52">
        <f>C51*D51</f>
        <v/>
      </c>
      <c r="F51" s="39" t="inlineStr">
        <is>
          <t>V1</t>
        </is>
      </c>
      <c r="G51" s="54" t="inlineStr">
        <is>
          <t>DigiKey</t>
        </is>
      </c>
      <c r="H51" s="55" t="inlineStr">
        <is>
          <t>Search</t>
        </is>
      </c>
      <c r="I51" s="49" t="inlineStr">
        <is>
          <t>Cable side</t>
        </is>
      </c>
    </row>
    <row r="53">
      <c r="D53" s="42" t="inlineStr">
        <is>
          <t>Total</t>
        </is>
      </c>
      <c r="E53" s="43">
        <f>SUM(E5:E51)</f>
        <v/>
      </c>
    </row>
  </sheetData>
  <hyperlinks>
    <hyperlink xmlns:r="http://schemas.openxmlformats.org/officeDocument/2006/relationships" ref="H6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  <hyperlink xmlns:r="http://schemas.openxmlformats.org/officeDocument/2006/relationships" ref="H23" r:id="rId16"/>
    <hyperlink xmlns:r="http://schemas.openxmlformats.org/officeDocument/2006/relationships" ref="H24" r:id="rId17"/>
    <hyperlink xmlns:r="http://schemas.openxmlformats.org/officeDocument/2006/relationships" ref="H25" r:id="rId18"/>
    <hyperlink xmlns:r="http://schemas.openxmlformats.org/officeDocument/2006/relationships" ref="H26" r:id="rId19"/>
    <hyperlink xmlns:r="http://schemas.openxmlformats.org/officeDocument/2006/relationships" ref="H28" r:id="rId20"/>
    <hyperlink xmlns:r="http://schemas.openxmlformats.org/officeDocument/2006/relationships" ref="H29" r:id="rId21"/>
    <hyperlink xmlns:r="http://schemas.openxmlformats.org/officeDocument/2006/relationships" ref="H30" r:id="rId22"/>
    <hyperlink xmlns:r="http://schemas.openxmlformats.org/officeDocument/2006/relationships" ref="H31" r:id="rId23"/>
    <hyperlink xmlns:r="http://schemas.openxmlformats.org/officeDocument/2006/relationships" ref="H32" r:id="rId24"/>
    <hyperlink xmlns:r="http://schemas.openxmlformats.org/officeDocument/2006/relationships" ref="H34" r:id="rId25"/>
    <hyperlink xmlns:r="http://schemas.openxmlformats.org/officeDocument/2006/relationships" ref="H35" r:id="rId26"/>
    <hyperlink xmlns:r="http://schemas.openxmlformats.org/officeDocument/2006/relationships" ref="H36" r:id="rId27"/>
    <hyperlink xmlns:r="http://schemas.openxmlformats.org/officeDocument/2006/relationships" ref="H37" r:id="rId28"/>
    <hyperlink xmlns:r="http://schemas.openxmlformats.org/officeDocument/2006/relationships" ref="H38" r:id="rId29"/>
    <hyperlink xmlns:r="http://schemas.openxmlformats.org/officeDocument/2006/relationships" ref="H39" r:id="rId30"/>
    <hyperlink xmlns:r="http://schemas.openxmlformats.org/officeDocument/2006/relationships" ref="H40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4" r:id="rId34"/>
    <hyperlink xmlns:r="http://schemas.openxmlformats.org/officeDocument/2006/relationships" ref="H45" r:id="rId35"/>
    <hyperlink xmlns:r="http://schemas.openxmlformats.org/officeDocument/2006/relationships" ref="H46" r:id="rId36"/>
    <hyperlink xmlns:r="http://schemas.openxmlformats.org/officeDocument/2006/relationships" ref="H47" r:id="rId37"/>
    <hyperlink xmlns:r="http://schemas.openxmlformats.org/officeDocument/2006/relationships" ref="H48" r:id="rId38"/>
    <hyperlink xmlns:r="http://schemas.openxmlformats.org/officeDocument/2006/relationships" ref="H49" r:id="rId39"/>
    <hyperlink xmlns:r="http://schemas.openxmlformats.org/officeDocument/2006/relationships" ref="H50" r:id="rId40"/>
    <hyperlink xmlns:r="http://schemas.openxmlformats.org/officeDocument/2006/relationships" ref="H51" r:id="rId4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7" min="1" max="1"/>
    <col width="40" customWidth="1" style="27" min="2" max="2"/>
    <col width="6" customWidth="1" style="27" min="3" max="3"/>
    <col width="14" customWidth="1" style="27" min="4" max="4"/>
    <col width="13" customWidth="1" style="27" min="5" max="5"/>
    <col width="10" customWidth="1" style="27" min="6" max="6"/>
    <col width="16" customWidth="1" style="27" min="7" max="7"/>
    <col width="14" customWidth="1" style="27" min="8" max="8"/>
    <col width="48" customWidth="1" style="27" min="9" max="9"/>
  </cols>
  <sheetData>
    <row r="1">
      <c r="A1" s="56" t="inlineStr">
        <is>
          <t>Indoor Carrier Rev B — Board Parts List</t>
        </is>
      </c>
    </row>
    <row r="2">
      <c r="A2" s="57" t="inlineStr">
        <is>
          <t>Blue = editable estimate. Prices are approximate single-unit retail (Oct 2026); links are supplier search pages.</t>
        </is>
      </c>
    </row>
    <row r="3">
      <c r="A3" s="57" t="inlineStr">
        <is>
          <t>Everything on the rev B indoor board, from hardware/indoor-carrier/fab/indoor-carrier-BOM.csv (branch claude/rev-b). Refs match the silkscreen. Probes and sensors that plug in are on the Indoor Node sheet.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>
      <c r="A5" s="47" t="inlineStr">
        <is>
          <t>Board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>
      <c r="A6" s="49" t="inlineStr">
        <is>
          <t>Bare PCB</t>
        </is>
      </c>
      <c r="B6" s="49" t="inlineStr">
        <is>
          <t>Indoor carrier rev B, 100 × 88 mm, 2-layer 1.6 mm</t>
        </is>
      </c>
      <c r="C6" s="50" t="n">
        <v>1</v>
      </c>
      <c r="D6" s="51" t="n">
        <v>2</v>
      </c>
      <c r="E6" s="52">
        <f>C6*D6</f>
        <v/>
      </c>
      <c r="F6" s="39" t="inlineStr">
        <is>
          <t>V1</t>
        </is>
      </c>
      <c r="G6" s="54" t="inlineStr">
        <is>
          <t>JLCPCB</t>
        </is>
      </c>
      <c r="H6" s="55" t="inlineStr">
        <is>
          <t>Search</t>
        </is>
      </c>
      <c r="I6" s="49" t="inlineStr">
        <is>
          <t>Upload fab/indoor-carrier-JLCPCB-gerbers.zip. About $2 for 5 boards at this size, plus shipping</t>
        </is>
      </c>
    </row>
    <row r="7">
      <c r="A7" s="47" t="inlineStr">
        <is>
          <t>Plug-in modules, chips and sockets</t>
        </is>
      </c>
      <c r="B7" s="48" t="n"/>
      <c r="C7" s="48" t="n"/>
      <c r="D7" s="48" t="n"/>
      <c r="E7" s="48" t="n"/>
      <c r="F7" s="48" t="n"/>
      <c r="G7" s="48" t="n"/>
      <c r="H7" s="48" t="n"/>
      <c r="I7" s="48" t="n"/>
    </row>
    <row r="8">
      <c r="A8" s="49" t="inlineStr">
        <is>
          <t>ESP32 dev board</t>
        </is>
      </c>
      <c r="B8" s="49" t="inlineStr">
        <is>
          <t>ESP32 DevKit 30-pin, ESP-WROOM-32 (U1)</t>
        </is>
      </c>
      <c r="C8" s="50" t="n">
        <v>1</v>
      </c>
      <c r="D8" s="51" t="n">
        <v>10</v>
      </c>
      <c r="E8" s="52">
        <f>C8*D8</f>
        <v/>
      </c>
      <c r="F8" s="39" t="inlineStr">
        <is>
          <t>V1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Same board as rev A</t>
        </is>
      </c>
    </row>
    <row r="9">
      <c r="A9" s="49" t="inlineStr">
        <is>
          <t>Buck converter module</t>
        </is>
      </c>
      <c r="B9" s="49" t="inlineStr">
        <is>
          <t>LM2596HV (60 V input) (U2)</t>
        </is>
      </c>
      <c r="C9" s="50" t="n">
        <v>1</v>
      </c>
      <c r="D9" s="51" t="n">
        <v>4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Set to 5.00 V before plugging in</t>
        </is>
      </c>
    </row>
    <row r="10">
      <c r="A10" s="49" t="inlineStr">
        <is>
          <t>LoRa radio module</t>
        </is>
      </c>
      <c r="B10" s="49" t="inlineStr">
        <is>
          <t>Seeed Wio-SX1262 with u.FL (U8)</t>
        </is>
      </c>
      <c r="C10" s="50" t="n">
        <v>1</v>
      </c>
      <c r="D10" s="51" t="n">
        <v>9</v>
      </c>
      <c r="E10" s="52">
        <f>C10*D10</f>
        <v/>
      </c>
      <c r="F10" s="39" t="inlineStr">
        <is>
          <t>LoRa</t>
        </is>
      </c>
      <c r="G10" s="54" t="inlineStr">
        <is>
          <t>Seeed</t>
        </is>
      </c>
      <c r="H10" s="55" t="inlineStr">
        <is>
          <t>Search</t>
        </is>
      </c>
      <c r="I10" s="49" t="inlineStr">
        <is>
          <t>Solders onto the board (castellated pads). Antenna + pigtail are on the LoRa Radio sheet</t>
        </is>
      </c>
    </row>
    <row r="11">
      <c r="A11" s="49" t="inlineStr">
        <is>
          <t>I²C multiplexer chip</t>
        </is>
      </c>
      <c r="B11" s="49" t="inlineStr">
        <is>
          <t>TCA9548APWR, TSSOP-24 (U7)</t>
        </is>
      </c>
      <c r="C11" s="50" t="n">
        <v>1</v>
      </c>
      <c r="D11" s="51" t="n">
        <v>1.5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 the board now (address 0x70); replaces the TCA9548A breakout on the Indoor Node sheet</t>
        </is>
      </c>
    </row>
    <row r="12">
      <c r="A12" s="49" t="inlineStr">
        <is>
          <t>AC-input optocoupler</t>
        </is>
      </c>
      <c r="B12" s="49" t="inlineStr">
        <is>
          <t>H11AA1 (U3–U6)</t>
        </is>
      </c>
      <c r="C12" s="50" t="n">
        <v>4</v>
      </c>
      <c r="D12" s="51" t="n">
        <v>0.8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Y, W, G, O/B</t>
        </is>
      </c>
    </row>
    <row r="13">
      <c r="A13" s="49" t="inlineStr">
        <is>
          <t>Female header 1×15</t>
        </is>
      </c>
      <c r="B13" s="49" t="inlineStr">
        <is>
          <t>2.54 mm pitch</t>
        </is>
      </c>
      <c r="C13" s="50" t="n">
        <v>2</v>
      </c>
      <c r="D13" s="51" t="n">
        <v>0.6</v>
      </c>
      <c r="E13" s="52">
        <f>C13*D13</f>
        <v/>
      </c>
      <c r="F13" s="39" t="inlineStr">
        <is>
          <t>V1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ESP32 sockets</t>
        </is>
      </c>
    </row>
    <row r="14">
      <c r="A14" s="49" t="inlineStr">
        <is>
          <t>Single-pin socket</t>
        </is>
      </c>
      <c r="B14" s="49" t="inlineStr">
        <is>
          <t>2.54 mm female header, 1 pin (or cut from a strip)</t>
        </is>
      </c>
      <c r="C14" s="50" t="n">
        <v>4</v>
      </c>
      <c r="D14" s="51" t="n">
        <v>0.2</v>
      </c>
      <c r="E14" s="52">
        <f>C14*D14</f>
        <v/>
      </c>
      <c r="F14" s="39" t="inlineStr">
        <is>
          <t>V1</t>
        </is>
      </c>
      <c r="G14" s="54" t="inlineStr">
        <is>
          <t>DigiKey</t>
        </is>
      </c>
      <c r="H14" s="55" t="inlineStr">
        <is>
          <t>Search</t>
        </is>
      </c>
      <c r="I14" s="49" t="inlineStr">
        <is>
          <t>LM2596 module corners</t>
        </is>
      </c>
    </row>
    <row r="15">
      <c r="A15" s="49" t="inlineStr">
        <is>
          <t>DIP-6 socket</t>
        </is>
      </c>
      <c r="B15" s="49" t="inlineStr">
        <is>
          <t>7.62 mm</t>
        </is>
      </c>
      <c r="C15" s="50" t="n">
        <v>4</v>
      </c>
      <c r="D15" s="51" t="n">
        <v>0.2</v>
      </c>
      <c r="E15" s="52">
        <f>C15*D15</f>
        <v/>
      </c>
      <c r="F15" s="39" t="inlineStr">
        <is>
          <t>V1</t>
        </is>
      </c>
      <c r="G15" s="54" t="inlineStr">
        <is>
          <t>DigiKey</t>
        </is>
      </c>
      <c r="H15" s="55" t="inlineStr">
        <is>
          <t>Search</t>
        </is>
      </c>
      <c r="I15" s="49" t="inlineStr">
        <is>
          <t>Optos</t>
        </is>
      </c>
    </row>
    <row r="16">
      <c r="A16" s="47" t="inlineStr">
        <is>
          <t>24 VAC supply and radio regulator</t>
        </is>
      </c>
      <c r="B16" s="48" t="n"/>
      <c r="C16" s="48" t="n"/>
      <c r="D16" s="48" t="n"/>
      <c r="E16" s="48" t="n"/>
      <c r="F16" s="48" t="n"/>
      <c r="G16" s="48" t="n"/>
      <c r="H16" s="48" t="n"/>
      <c r="I16" s="48" t="n"/>
    </row>
    <row r="17">
      <c r="A17" s="49" t="inlineStr">
        <is>
          <t>Fuse clips</t>
        </is>
      </c>
      <c r="B17" s="49" t="inlineStr">
        <is>
          <t>Littelfuse 111 series, 5×20 mm PCB clip (F1)</t>
        </is>
      </c>
      <c r="C17" s="50" t="n">
        <v>2</v>
      </c>
      <c r="D17" s="51" t="n">
        <v>0.3</v>
      </c>
      <c r="E17" s="52">
        <f>C17*D17</f>
        <v/>
      </c>
      <c r="F17" s="39" t="inlineStr">
        <is>
          <t>V1</t>
        </is>
      </c>
      <c r="G17" s="54" t="inlineStr">
        <is>
          <t>DigiKey</t>
        </is>
      </c>
      <c r="H17" s="55" t="inlineStr">
        <is>
          <t>Search</t>
        </is>
      </c>
      <c r="I17" s="49" t="inlineStr">
        <is>
          <t>Two per fuse</t>
        </is>
      </c>
    </row>
    <row r="18">
      <c r="A18" s="49" t="inlineStr">
        <is>
          <t>Fuse</t>
        </is>
      </c>
      <c r="B18" s="49" t="inlineStr">
        <is>
          <t>0.5 A fast-blow, 5×20 mm</t>
        </is>
      </c>
      <c r="C18" s="50" t="n">
        <v>1</v>
      </c>
      <c r="D18" s="51" t="n">
        <v>0.3</v>
      </c>
      <c r="E18" s="52">
        <f>C18*D18</f>
        <v/>
      </c>
      <c r="F18" s="39" t="inlineStr">
        <is>
          <t>V1</t>
        </is>
      </c>
      <c r="G18" s="54" t="inlineStr">
        <is>
          <t>DigiKey</t>
        </is>
      </c>
      <c r="H18" s="55" t="inlineStr">
        <is>
          <t>Search</t>
        </is>
      </c>
      <c r="I18" s="49" t="n"/>
    </row>
    <row r="19">
      <c r="A19" s="49" t="inlineStr">
        <is>
          <t>TVS diode</t>
        </is>
      </c>
      <c r="B19" s="49" t="inlineStr">
        <is>
          <t>SMBJ48CA bidirectional (D1)</t>
        </is>
      </c>
      <c r="C19" s="50" t="n">
        <v>1</v>
      </c>
      <c r="D19" s="51" t="n">
        <v>0.5</v>
      </c>
      <c r="E19" s="52">
        <f>C19*D19</f>
        <v/>
      </c>
      <c r="F19" s="39" t="inlineStr">
        <is>
          <t>V1</t>
        </is>
      </c>
      <c r="G19" s="54" t="inlineStr">
        <is>
          <t>DigiKey</t>
        </is>
      </c>
      <c r="H19" s="55" t="inlineStr">
        <is>
          <t>Search</t>
        </is>
      </c>
      <c r="I19" s="49" t="n"/>
    </row>
    <row r="20">
      <c r="A20" s="49" t="inlineStr">
        <is>
          <t>Rectifier diode</t>
        </is>
      </c>
      <c r="B20" s="49" t="inlineStr">
        <is>
          <t>1N4007 (D2)</t>
        </is>
      </c>
      <c r="C20" s="50" t="n">
        <v>1</v>
      </c>
      <c r="D20" s="51" t="n">
        <v>0.1</v>
      </c>
      <c r="E20" s="52">
        <f>C20*D20</f>
        <v/>
      </c>
      <c r="F20" s="39" t="inlineStr">
        <is>
          <t>V1</t>
        </is>
      </c>
      <c r="G20" s="54" t="inlineStr">
        <is>
          <t>DigiKey</t>
        </is>
      </c>
      <c r="H20" s="55" t="inlineStr">
        <is>
          <t>Search</t>
        </is>
      </c>
      <c r="I20" s="49" t="n"/>
    </row>
    <row r="21">
      <c r="A21" s="49" t="inlineStr">
        <is>
          <t>Bulk capacitor</t>
        </is>
      </c>
      <c r="B21" s="49" t="inlineStr">
        <is>
          <t>470 µF 63 V electrolytic, 10 mm, 5 mm pitch (C1)</t>
        </is>
      </c>
      <c r="C21" s="50" t="n">
        <v>1</v>
      </c>
      <c r="D21" s="51" t="n">
        <v>0.6</v>
      </c>
      <c r="E21" s="52">
        <f>C21*D21</f>
        <v/>
      </c>
      <c r="F21" s="39" t="inlineStr">
        <is>
          <t>V1</t>
        </is>
      </c>
      <c r="G21" s="54" t="inlineStr">
        <is>
          <t>DigiKey</t>
        </is>
      </c>
      <c r="H21" s="55" t="inlineStr">
        <is>
          <t>Search</t>
        </is>
      </c>
      <c r="I21" s="49" t="n"/>
    </row>
    <row r="22">
      <c r="A22" s="49" t="inlineStr">
        <is>
          <t>Radio regulator</t>
        </is>
      </c>
      <c r="B22" s="49" t="inlineStr">
        <is>
          <t>AMS1117-3.3, SOT-223 (U9)</t>
        </is>
      </c>
      <c r="C22" s="50" t="n">
        <v>1</v>
      </c>
      <c r="D22" s="51" t="n">
        <v>0.3</v>
      </c>
      <c r="E22" s="52">
        <f>C22*D22</f>
        <v/>
      </c>
      <c r="F22" s="39" t="inlineStr">
        <is>
          <t>LoRa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Radio-only 3.3 V rail</t>
        </is>
      </c>
    </row>
    <row r="23">
      <c r="A23" s="49" t="inlineStr">
        <is>
          <t>Electrolytic capacitor</t>
        </is>
      </c>
      <c r="B23" s="49" t="inlineStr">
        <is>
          <t>10 µF 16 V, 5 mm, 2 mm pitch (C4)</t>
        </is>
      </c>
      <c r="C23" s="50" t="n">
        <v>1</v>
      </c>
      <c r="D23" s="51" t="n">
        <v>0.1</v>
      </c>
      <c r="E23" s="52">
        <f>C23*D23</f>
        <v/>
      </c>
      <c r="F23" s="39" t="inlineStr">
        <is>
          <t>LoRa</t>
        </is>
      </c>
      <c r="G23" s="54" t="inlineStr">
        <is>
          <t>DigiKey</t>
        </is>
      </c>
      <c r="H23" s="55" t="inlineStr">
        <is>
          <t>Search</t>
        </is>
      </c>
      <c r="I23" s="49" t="inlineStr">
        <is>
          <t>Regulator input</t>
        </is>
      </c>
    </row>
    <row r="24">
      <c r="A24" s="49" t="inlineStr">
        <is>
          <t>Electrolytic capacitor</t>
        </is>
      </c>
      <c r="B24" s="49" t="inlineStr">
        <is>
          <t>22 µF 10 V, 5 mm, 2 mm pitch (C5)</t>
        </is>
      </c>
      <c r="C24" s="50" t="n">
        <v>1</v>
      </c>
      <c r="D24" s="51" t="n">
        <v>0.1</v>
      </c>
      <c r="E24" s="52">
        <f>C24*D24</f>
        <v/>
      </c>
      <c r="F24" s="39" t="inlineStr">
        <is>
          <t>LoRa</t>
        </is>
      </c>
      <c r="G24" s="54" t="inlineStr">
        <is>
          <t>DigiKey</t>
        </is>
      </c>
      <c r="H24" s="55" t="inlineStr">
        <is>
          <t>Search</t>
        </is>
      </c>
      <c r="I24" s="49" t="inlineStr">
        <is>
          <t>Regulator output</t>
        </is>
      </c>
    </row>
    <row r="25">
      <c r="A25" s="49" t="inlineStr">
        <is>
          <t>SETUP button</t>
        </is>
      </c>
      <c r="B25" s="49" t="inlineStr">
        <is>
          <t>6 × 6 mm tact switch, 5 mm tall, THT (SW1)</t>
        </is>
      </c>
      <c r="C25" s="50" t="n">
        <v>1</v>
      </c>
      <c r="D25" s="51" t="n">
        <v>0.1</v>
      </c>
      <c r="E25" s="52">
        <f>C25*D25</f>
        <v/>
      </c>
      <c r="F25" s="39" t="inlineStr">
        <is>
          <t>V1</t>
        </is>
      </c>
      <c r="G25" s="54" t="inlineStr">
        <is>
          <t>DigiKey</t>
        </is>
      </c>
      <c r="H25" s="55" t="inlineStr">
        <is>
          <t>Search</t>
        </is>
      </c>
      <c r="I25" s="49" t="inlineStr">
        <is>
          <t>Pressed through the lid by the printed plunger</t>
        </is>
      </c>
    </row>
    <row r="26">
      <c r="A26" s="47" t="inlineStr">
        <is>
          <t>Passives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</row>
    <row r="27">
      <c r="A27" s="49" t="inlineStr">
        <is>
          <t>Disc capacitor</t>
        </is>
      </c>
      <c r="B27" s="49" t="inlineStr">
        <is>
          <t>0.1 µF 50 V ceramic, 2.5 mm pitch (C2, C6)</t>
        </is>
      </c>
      <c r="C27" s="50" t="n">
        <v>2</v>
      </c>
      <c r="D27" s="51" t="n">
        <v>0.1</v>
      </c>
      <c r="E27" s="52">
        <f>C27*D27</f>
        <v/>
      </c>
      <c r="F27" s="39" t="inlineStr">
        <is>
          <t>V1</t>
        </is>
      </c>
      <c r="G27" s="54" t="inlineStr">
        <is>
          <t>DigiKey</t>
        </is>
      </c>
      <c r="H27" s="55" t="inlineStr">
        <is>
          <t>Search</t>
        </is>
      </c>
      <c r="I27" s="49" t="n"/>
    </row>
    <row r="28">
      <c r="A28" s="49" t="inlineStr">
        <is>
          <t>Bypass capacitor</t>
        </is>
      </c>
      <c r="B28" s="49" t="inlineStr">
        <is>
          <t>0.1 µF 0805 (C3)</t>
        </is>
      </c>
      <c r="C28" s="50" t="n">
        <v>1</v>
      </c>
      <c r="D28" s="51" t="n">
        <v>0.05</v>
      </c>
      <c r="E28" s="52">
        <f>C28*D28</f>
        <v/>
      </c>
      <c r="F28" s="39" t="inlineStr">
        <is>
          <t>V1</t>
        </is>
      </c>
      <c r="G28" s="54" t="inlineStr">
        <is>
          <t>DigiKey</t>
        </is>
      </c>
      <c r="H28" s="55" t="inlineStr">
        <is>
          <t>Search</t>
        </is>
      </c>
      <c r="I28" s="49" t="inlineStr">
        <is>
          <t>At the mux chip</t>
        </is>
      </c>
    </row>
    <row r="29">
      <c r="A29" s="49" t="inlineStr">
        <is>
          <t>1-Wire pull-up</t>
        </is>
      </c>
      <c r="B29" s="49" t="inlineStr">
        <is>
          <t>4.7k ¼ W (R1)</t>
        </is>
      </c>
      <c r="C29" s="50" t="n">
        <v>1</v>
      </c>
      <c r="D29" s="51" t="n">
        <v>0.05</v>
      </c>
      <c r="E29" s="52">
        <f>C29*D29</f>
        <v/>
      </c>
      <c r="F29" s="39" t="inlineStr">
        <is>
          <t>V1</t>
        </is>
      </c>
      <c r="G29" s="54" t="inlineStr">
        <is>
          <t>DigiKey</t>
        </is>
      </c>
      <c r="H29" s="55" t="inlineStr">
        <is>
          <t>Search</t>
        </is>
      </c>
      <c r="I29" s="49" t="inlineStr">
        <is>
          <t>DS18B20 bus</t>
        </is>
      </c>
    </row>
    <row r="30">
      <c r="A30" s="49" t="inlineStr">
        <is>
          <t>Opto series resistor</t>
        </is>
      </c>
      <c r="B30" s="49" t="inlineStr">
        <is>
          <t>4.7k ½ W (R2, R4, R6, R8)</t>
        </is>
      </c>
      <c r="C30" s="50" t="n">
        <v>4</v>
      </c>
      <c r="D30" s="51" t="n">
        <v>0.1</v>
      </c>
      <c r="E30" s="52">
        <f>C30*D30</f>
        <v/>
      </c>
      <c r="F30" s="39" t="inlineStr">
        <is>
          <t>V1</t>
        </is>
      </c>
      <c r="G30" s="54" t="inlineStr">
        <is>
          <t>DigiKey</t>
        </is>
      </c>
      <c r="H30" s="55" t="inlineStr">
        <is>
          <t>Search</t>
        </is>
      </c>
      <c r="I30" s="49" t="n"/>
    </row>
    <row r="31">
      <c r="A31" s="49" t="inlineStr">
        <is>
          <t>Opto pull-up resistor</t>
        </is>
      </c>
      <c r="B31" s="49" t="inlineStr">
        <is>
          <t>10k ¼ W (R3, R5, R7, R9)</t>
        </is>
      </c>
      <c r="C31" s="50" t="n">
        <v>4</v>
      </c>
      <c r="D31" s="51" t="n">
        <v>0.05</v>
      </c>
      <c r="E31" s="52">
        <f>C31*D31</f>
        <v/>
      </c>
      <c r="F31" s="39" t="inlineStr">
        <is>
          <t>V1</t>
        </is>
      </c>
      <c r="G31" s="54" t="inlineStr">
        <is>
          <t>DigiKey</t>
        </is>
      </c>
      <c r="H31" s="55" t="inlineStr">
        <is>
          <t>Search</t>
        </is>
      </c>
      <c r="I31" s="49" t="n"/>
    </row>
    <row r="32">
      <c r="A32" s="49" t="inlineStr">
        <is>
          <t>Mux pull-ups + reset</t>
        </is>
      </c>
      <c r="B32" s="49" t="inlineStr">
        <is>
          <t>10k 0805 (R10–R20)</t>
        </is>
      </c>
      <c r="C32" s="50" t="n">
        <v>11</v>
      </c>
      <c r="D32" s="51" t="n">
        <v>0.05</v>
      </c>
      <c r="E32" s="52">
        <f>C32*D32</f>
        <v/>
      </c>
      <c r="F32" s="39" t="inlineStr">
        <is>
          <t>V1</t>
        </is>
      </c>
      <c r="G32" s="54" t="inlineStr">
        <is>
          <t>DigiKey</t>
        </is>
      </c>
      <c r="H32" s="55" t="inlineStr">
        <is>
          <t>Search</t>
        </is>
      </c>
      <c r="I32" s="49" t="inlineStr">
        <is>
          <t>SDA/SCL pull-ups for each sensor channel, RESET pull-up</t>
        </is>
      </c>
    </row>
    <row r="33">
      <c r="A33" s="47" t="inlineStr">
        <is>
          <t>Connectors</t>
        </is>
      </c>
      <c r="B33" s="48" t="n"/>
      <c r="C33" s="48" t="n"/>
      <c r="D33" s="48" t="n"/>
      <c r="E33" s="48" t="n"/>
      <c r="F33" s="48" t="n"/>
      <c r="G33" s="48" t="n"/>
      <c r="H33" s="48" t="n"/>
      <c r="I33" s="48" t="n"/>
    </row>
    <row r="34">
      <c r="A34" s="49" t="inlineStr">
        <is>
          <t>Terminal header, 2-pos</t>
        </is>
      </c>
      <c r="B34" s="49" t="inlineStr">
        <is>
          <t>Phoenix MC 1,5/2-G-5,08 (J1)</t>
        </is>
      </c>
      <c r="C34" s="50" t="n">
        <v>1</v>
      </c>
      <c r="D34" s="51" t="n">
        <v>1.2</v>
      </c>
      <c r="E34" s="52">
        <f>C34*D34</f>
        <v/>
      </c>
      <c r="F34" s="39" t="inlineStr">
        <is>
          <t>V1</t>
        </is>
      </c>
      <c r="G34" s="54" t="inlineStr">
        <is>
          <t>DigiKey</t>
        </is>
      </c>
      <c r="H34" s="55" t="inlineStr">
        <is>
          <t>Search</t>
        </is>
      </c>
      <c r="I34" s="49" t="inlineStr">
        <is>
          <t>24 VAC in</t>
        </is>
      </c>
    </row>
    <row r="35">
      <c r="A35" s="49" t="inlineStr">
        <is>
          <t>Terminal plug, 2-pos</t>
        </is>
      </c>
      <c r="B35" s="49" t="inlineStr">
        <is>
          <t>Phoenix MC 1,5/2-ST-5,08</t>
        </is>
      </c>
      <c r="C35" s="50" t="n">
        <v>1</v>
      </c>
      <c r="D35" s="51" t="n">
        <v>1.5</v>
      </c>
      <c r="E35" s="52">
        <f>C35*D35</f>
        <v/>
      </c>
      <c r="F35" s="39" t="inlineStr">
        <is>
          <t>V1</t>
        </is>
      </c>
      <c r="G35" s="54" t="inlineStr">
        <is>
          <t>DigiKey</t>
        </is>
      </c>
      <c r="H35" s="55" t="inlineStr">
        <is>
          <t>Search</t>
        </is>
      </c>
      <c r="I35" s="49" t="inlineStr">
        <is>
          <t>Mates J1</t>
        </is>
      </c>
    </row>
    <row r="36">
      <c r="A36" s="49" t="inlineStr">
        <is>
          <t>Terminal header, 4-pos</t>
        </is>
      </c>
      <c r="B36" s="49" t="inlineStr">
        <is>
          <t>Phoenix MC 1,5/4-G-5,08 (J2, J5)</t>
        </is>
      </c>
      <c r="C36" s="50" t="n">
        <v>2</v>
      </c>
      <c r="D36" s="51" t="n">
        <v>2</v>
      </c>
      <c r="E36" s="52">
        <f>C36*D36</f>
        <v/>
      </c>
      <c r="F36" s="39" t="inlineStr">
        <is>
          <t>V1</t>
        </is>
      </c>
      <c r="G36" s="54" t="inlineStr">
        <is>
          <t>DigiKey</t>
        </is>
      </c>
      <c r="H36" s="55" t="inlineStr">
        <is>
          <t>Search</t>
        </is>
      </c>
      <c r="I36" s="49" t="inlineStr">
        <is>
          <t>Thermostat calls; main I²C bus</t>
        </is>
      </c>
    </row>
    <row r="37">
      <c r="A37" s="49" t="inlineStr">
        <is>
          <t>Terminal plug, 4-pos</t>
        </is>
      </c>
      <c r="B37" s="49" t="inlineStr">
        <is>
          <t>Phoenix MC 1,5/4-ST-5,08</t>
        </is>
      </c>
      <c r="C37" s="50" t="n">
        <v>2</v>
      </c>
      <c r="D37" s="51" t="n">
        <v>2.5</v>
      </c>
      <c r="E37" s="52">
        <f>C37*D37</f>
        <v/>
      </c>
      <c r="F37" s="39" t="inlineStr">
        <is>
          <t>V1</t>
        </is>
      </c>
      <c r="G37" s="54" t="inlineStr">
        <is>
          <t>DigiKey</t>
        </is>
      </c>
      <c r="H37" s="55" t="inlineStr">
        <is>
          <t>Search</t>
        </is>
      </c>
      <c r="I37" s="49" t="inlineStr">
        <is>
          <t>Mates J2, J5</t>
        </is>
      </c>
    </row>
    <row r="38">
      <c r="A38" s="49" t="inlineStr">
        <is>
          <t>JST-XH header, 3-pin</t>
        </is>
      </c>
      <c r="B38" s="49" t="inlineStr">
        <is>
          <t>B3B-XH-A (J3, J4)</t>
        </is>
      </c>
      <c r="C38" s="50" t="n">
        <v>2</v>
      </c>
      <c r="D38" s="51" t="n">
        <v>0.15</v>
      </c>
      <c r="E38" s="52">
        <f>C38*D38</f>
        <v/>
      </c>
      <c r="F38" s="39" t="inlineStr">
        <is>
          <t>V1</t>
        </is>
      </c>
      <c r="G38" s="54" t="inlineStr">
        <is>
          <t>DigiKey</t>
        </is>
      </c>
      <c r="H38" s="55" t="inlineStr">
        <is>
          <t>Search</t>
        </is>
      </c>
      <c r="I38" s="49" t="inlineStr">
        <is>
          <t>DS18B20 probes</t>
        </is>
      </c>
    </row>
    <row r="39">
      <c r="A39" s="49" t="inlineStr">
        <is>
          <t>JST-XH header, 4-pin</t>
        </is>
      </c>
      <c r="B39" s="49" t="inlineStr">
        <is>
          <t>B4B-XH-A (J6–J10)</t>
        </is>
      </c>
      <c r="C39" s="50" t="n">
        <v>5</v>
      </c>
      <c r="D39" s="51" t="n">
        <v>0.2</v>
      </c>
      <c r="E39" s="52">
        <f>C39*D39</f>
        <v/>
      </c>
      <c r="F39" s="39" t="inlineStr">
        <is>
          <t>V1</t>
        </is>
      </c>
      <c r="G39" s="54" t="inlineStr">
        <is>
          <t>DigiKey</t>
        </is>
      </c>
      <c r="H39" s="55" t="inlineStr">
        <is>
          <t>Search</t>
        </is>
      </c>
      <c r="I39" s="49" t="inlineStr">
        <is>
          <t>SHT45 ×2, SDP810 ×3 (mux channels 0–4)</t>
        </is>
      </c>
    </row>
    <row r="40">
      <c r="A40" s="49" t="inlineStr">
        <is>
          <t>JST-XH housing, 3-pin</t>
        </is>
      </c>
      <c r="B40" s="49" t="inlineStr">
        <is>
          <t>XHP-3 + SXH-001T-P0.6 crimps</t>
        </is>
      </c>
      <c r="C40" s="50" t="n">
        <v>2</v>
      </c>
      <c r="D40" s="51" t="n">
        <v>0.2</v>
      </c>
      <c r="E40" s="52">
        <f>C40*D40</f>
        <v/>
      </c>
      <c r="F40" s="39" t="inlineStr">
        <is>
          <t>V1</t>
        </is>
      </c>
      <c r="G40" s="54" t="inlineStr">
        <is>
          <t>DigiKey</t>
        </is>
      </c>
      <c r="H40" s="55" t="inlineStr">
        <is>
          <t>Search</t>
        </is>
      </c>
      <c r="I40" s="49" t="inlineStr">
        <is>
          <t>Cable side</t>
        </is>
      </c>
    </row>
    <row r="41">
      <c r="A41" s="49" t="inlineStr">
        <is>
          <t>JST-XH housing, 4-pin</t>
        </is>
      </c>
      <c r="B41" s="49" t="inlineStr">
        <is>
          <t>XHP-4 + SXH-001T-P0.6 crimps</t>
        </is>
      </c>
      <c r="C41" s="50" t="n">
        <v>5</v>
      </c>
      <c r="D41" s="51" t="n">
        <v>0.25</v>
      </c>
      <c r="E41" s="52">
        <f>C41*D41</f>
        <v/>
      </c>
      <c r="F41" s="39" t="inlineStr">
        <is>
          <t>V1</t>
        </is>
      </c>
      <c r="G41" s="54" t="inlineStr">
        <is>
          <t>DigiKey</t>
        </is>
      </c>
      <c r="H41" s="55" t="inlineStr">
        <is>
          <t>Search</t>
        </is>
      </c>
      <c r="I41" s="49" t="inlineStr">
        <is>
          <t>Cable side</t>
        </is>
      </c>
    </row>
    <row r="43">
      <c r="D43" s="42" t="inlineStr">
        <is>
          <t>Total</t>
        </is>
      </c>
      <c r="E43" s="43">
        <f>SUM(E5:E41)</f>
        <v/>
      </c>
    </row>
  </sheetData>
  <hyperlinks>
    <hyperlink xmlns:r="http://schemas.openxmlformats.org/officeDocument/2006/relationships" ref="H6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  <hyperlink xmlns:r="http://schemas.openxmlformats.org/officeDocument/2006/relationships" ref="H23" r:id="rId16"/>
    <hyperlink xmlns:r="http://schemas.openxmlformats.org/officeDocument/2006/relationships" ref="H24" r:id="rId17"/>
    <hyperlink xmlns:r="http://schemas.openxmlformats.org/officeDocument/2006/relationships" ref="H25" r:id="rId18"/>
    <hyperlink xmlns:r="http://schemas.openxmlformats.org/officeDocument/2006/relationships" ref="H27" r:id="rId19"/>
    <hyperlink xmlns:r="http://schemas.openxmlformats.org/officeDocument/2006/relationships" ref="H28" r:id="rId20"/>
    <hyperlink xmlns:r="http://schemas.openxmlformats.org/officeDocument/2006/relationships" ref="H29" r:id="rId21"/>
    <hyperlink xmlns:r="http://schemas.openxmlformats.org/officeDocument/2006/relationships" ref="H30" r:id="rId22"/>
    <hyperlink xmlns:r="http://schemas.openxmlformats.org/officeDocument/2006/relationships" ref="H31" r:id="rId23"/>
    <hyperlink xmlns:r="http://schemas.openxmlformats.org/officeDocument/2006/relationships" ref="H32" r:id="rId24"/>
    <hyperlink xmlns:r="http://schemas.openxmlformats.org/officeDocument/2006/relationships" ref="H34" r:id="rId25"/>
    <hyperlink xmlns:r="http://schemas.openxmlformats.org/officeDocument/2006/relationships" ref="H35" r:id="rId26"/>
    <hyperlink xmlns:r="http://schemas.openxmlformats.org/officeDocument/2006/relationships" ref="H36" r:id="rId27"/>
    <hyperlink xmlns:r="http://schemas.openxmlformats.org/officeDocument/2006/relationships" ref="H37" r:id="rId28"/>
    <hyperlink xmlns:r="http://schemas.openxmlformats.org/officeDocument/2006/relationships" ref="H38" r:id="rId29"/>
    <hyperlink xmlns:r="http://schemas.openxmlformats.org/officeDocument/2006/relationships" ref="H39" r:id="rId30"/>
    <hyperlink xmlns:r="http://schemas.openxmlformats.org/officeDocument/2006/relationships" ref="H40" r:id="rId31"/>
    <hyperlink xmlns:r="http://schemas.openxmlformats.org/officeDocument/2006/relationships" ref="H41" r:id="rId3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Display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Display &amp; power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Touch display board</t>
        </is>
      </c>
      <c r="B6" s="49" t="inlineStr">
        <is>
          <t>Waveshare ESP32-S3 4.3" Touch LCD</t>
        </is>
      </c>
      <c r="C6" s="50" t="n">
        <v>1</v>
      </c>
      <c r="D6" s="51" t="n">
        <v>40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800 × 480 touchscreen; also the system hub and (with LoRa) the gateway</t>
        </is>
      </c>
    </row>
    <row r="7" ht="15" customHeight="1" s="27">
      <c r="A7" s="49" t="inlineStr">
        <is>
          <t>Power supply kit</t>
        </is>
      </c>
      <c r="B7" s="49" t="inlineStr">
        <is>
          <t>See 'Power Kit' sheet</t>
        </is>
      </c>
      <c r="C7" s="50" t="n">
        <v>1</v>
      </c>
      <c r="D7" s="44">
        <f>'Power Kit'!$E$15</f>
        <v/>
      </c>
      <c r="E7" s="52">
        <f>C7*D7</f>
        <v/>
      </c>
      <c r="F7" s="39" t="inlineStr">
        <is>
          <t>V1</t>
        </is>
      </c>
      <c r="G7" s="54" t="inlineStr">
        <is>
          <t>Built in-house</t>
        </is>
      </c>
      <c r="H7" s="54" t="n"/>
      <c r="I7" s="49" t="inlineStr">
        <is>
          <t>Needs C wire at thermostat</t>
        </is>
      </c>
    </row>
    <row r="8" ht="15" customHeight="1" s="27">
      <c r="A8" s="49" t="inlineStr">
        <is>
          <t>C-wire adapter</t>
        </is>
      </c>
      <c r="B8" s="49" t="inlineStr">
        <is>
          <t>Venstar Add-a-Wire</t>
        </is>
      </c>
      <c r="C8" s="50" t="n">
        <v>1</v>
      </c>
      <c r="D8" s="51" t="n">
        <v>30</v>
      </c>
      <c r="E8" s="52">
        <f>C8*D8</f>
        <v/>
      </c>
      <c r="F8" s="45" t="inlineStr">
        <is>
          <t>Optional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Only if no C wire</t>
        </is>
      </c>
    </row>
    <row r="9" ht="15" customHeight="1" s="27">
      <c r="A9" s="49" t="inlineStr">
        <is>
          <t>Wall mount</t>
        </is>
      </c>
      <c r="B9" s="49" t="inlineStr">
        <is>
          <t>Enclosure or 3D-printed bezel</t>
        </is>
      </c>
      <c r="C9" s="50" t="n">
        <v>1</v>
      </c>
      <c r="D9" s="51" t="n">
        <v>15</v>
      </c>
      <c r="E9" s="52">
        <f>C9*D9</f>
        <v/>
      </c>
      <c r="F9" s="39" t="inlineStr">
        <is>
          <t>V1</t>
        </is>
      </c>
      <c r="G9" s="54" t="inlineStr">
        <is>
          <t>3D print / Amazon</t>
        </is>
      </c>
      <c r="H9" s="54" t="n"/>
      <c r="I9" s="49" t="n"/>
    </row>
    <row r="10" ht="15" customHeight="1" s="27">
      <c r="A10" s="49" t="inlineStr">
        <is>
          <t>Room temp/humidity</t>
        </is>
      </c>
      <c r="B10" s="49" t="inlineStr">
        <is>
          <t>SHT45</t>
        </is>
      </c>
      <c r="C10" s="50" t="n">
        <v>1</v>
      </c>
      <c r="D10" s="51" t="n">
        <v>15</v>
      </c>
      <c r="E10" s="52">
        <f>C10*D10</f>
        <v/>
      </c>
      <c r="F10" s="45" t="inlineStr">
        <is>
          <t>Optional</t>
        </is>
      </c>
      <c r="G10" s="54" t="inlineStr">
        <is>
          <t>Amazon</t>
        </is>
      </c>
      <c r="H10" s="55" t="inlineStr">
        <is>
          <t>Search</t>
        </is>
      </c>
      <c r="I10" s="49" t="inlineStr">
        <is>
          <t>For the display-only version. The thermostat version uses the one in its section below</t>
        </is>
      </c>
    </row>
    <row r="11" ht="15" customHeight="1" s="27">
      <c r="A11" s="49" t="inlineStr">
        <is>
          <t>Alarm buzzer</t>
        </is>
      </c>
      <c r="B11" s="49" t="inlineStr">
        <is>
          <t>Piezo buzzer</t>
        </is>
      </c>
      <c r="C11" s="50" t="n">
        <v>1</v>
      </c>
      <c r="D11" s="51" t="n">
        <v>1</v>
      </c>
      <c r="E11" s="52">
        <f>C11*D11</f>
        <v/>
      </c>
      <c r="F11" s="45" t="inlineStr">
        <is>
          <t>Optional</t>
        </is>
      </c>
      <c r="G11" s="54" t="inlineStr">
        <is>
          <t>Amazon</t>
        </is>
      </c>
      <c r="H11" s="55" t="inlineStr">
        <is>
          <t>Search</t>
        </is>
      </c>
      <c r="I11" s="49" t="n"/>
    </row>
    <row r="12" ht="15" customHeight="1" s="27">
      <c r="A12" s="47" t="inlineStr">
        <is>
          <t>Thermostat-replacement version (see thermostat/README.md)</t>
        </is>
      </c>
      <c r="B12" s="48" t="n"/>
      <c r="C12" s="48" t="n"/>
      <c r="D12" s="48" t="n"/>
      <c r="E12" s="48" t="n"/>
      <c r="F12" s="48" t="n"/>
      <c r="G12" s="48" t="n"/>
      <c r="H12" s="48" t="n"/>
      <c r="I12" s="48" t="n"/>
    </row>
    <row r="13" ht="15" customHeight="1" s="27">
      <c r="A13" s="49" t="inlineStr">
        <is>
          <t>Output switches</t>
        </is>
      </c>
      <c r="B13" s="49" t="inlineStr">
        <is>
          <t>PhotoMOS solid-state relay, 60 V AC/DC, 2.5 A (Panasonic AQV252G)</t>
        </is>
      </c>
      <c r="C13" s="50" t="n">
        <v>6</v>
      </c>
      <c r="D13" s="51" t="n">
        <v>5</v>
      </c>
      <c r="E13" s="52">
        <f>C13*D13</f>
        <v/>
      </c>
      <c r="F13" s="53" t="inlineStr">
        <is>
          <t>Future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Y, Y2, W, W2, G, O/B. Open on reset/power loss; silent, no contact wear</t>
        </is>
      </c>
    </row>
    <row r="14" ht="15" customHeight="1" s="27">
      <c r="A14" s="49" t="inlineStr">
        <is>
          <t>Output surge clamp</t>
        </is>
      </c>
      <c r="B14" s="49" t="inlineStr">
        <is>
          <t>TVS diode SMBJ36CA bidirectional</t>
        </is>
      </c>
      <c r="C14" s="50" t="n">
        <v>6</v>
      </c>
      <c r="D14" s="51" t="n">
        <v>0.5</v>
      </c>
      <c r="E14" s="52">
        <f>C14*D14</f>
        <v/>
      </c>
      <c r="F14" s="53" t="inlineStr">
        <is>
          <t>Future</t>
        </is>
      </c>
      <c r="G14" s="54" t="inlineStr">
        <is>
          <t>DigiKey</t>
        </is>
      </c>
      <c r="H14" s="55" t="inlineStr">
        <is>
          <t>Search</t>
        </is>
      </c>
      <c r="I14" s="49" t="inlineStr">
        <is>
          <t>Across each output: clamps contactor/valve coil kick below the 60 V switch rating</t>
        </is>
      </c>
    </row>
    <row r="15">
      <c r="A15" s="49" t="inlineStr">
        <is>
          <t>SSR LED resistor</t>
        </is>
      </c>
      <c r="B15" s="49" t="inlineStr">
        <is>
          <t>330 Ω ¼ W</t>
        </is>
      </c>
      <c r="C15" s="50" t="n">
        <v>6</v>
      </c>
      <c r="D15" s="51" t="n">
        <v>0.05</v>
      </c>
      <c r="E15" s="52">
        <f>C15*D15</f>
        <v/>
      </c>
      <c r="F15" s="53" t="inlineStr">
        <is>
          <t>Future</t>
        </is>
      </c>
      <c r="G15" s="54" t="inlineStr">
        <is>
          <t>DigiKey</t>
        </is>
      </c>
      <c r="H15" s="55" t="inlineStr">
        <is>
          <t>Search</t>
        </is>
      </c>
      <c r="I15" s="49" t="inlineStr">
        <is>
          <t>~5 mA from 3.3 V into each PhotoMOS LED</t>
        </is>
      </c>
    </row>
    <row r="16" ht="15" customHeight="1" s="27">
      <c r="A16" s="49" t="inlineStr">
        <is>
          <t>I/O expander</t>
        </is>
      </c>
      <c r="B16" s="49" t="inlineStr">
        <is>
          <t>MCP23017 I²C 16-bit GPIO expander</t>
        </is>
      </c>
      <c r="C16" s="50" t="n">
        <v>1</v>
      </c>
      <c r="D16" s="51" t="n">
        <v>2</v>
      </c>
      <c r="E16" s="52">
        <f>C16*D16</f>
        <v/>
      </c>
      <c r="F16" s="53" t="inlineStr">
        <is>
          <t>Future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6 outputs + watchdog line + 5 state-sense inputs over I²C (the 4.3" board's GPIOs go to the LCD). Resets to all-off</t>
        </is>
      </c>
    </row>
    <row r="17">
      <c r="A17" s="49" t="inlineStr">
        <is>
          <t>Hardware watchdog</t>
        </is>
      </c>
      <c r="B17" s="49" t="inlineStr">
        <is>
          <t>TI TPS3823-33 supervisor with watchdog</t>
        </is>
      </c>
      <c r="C17" s="50" t="n">
        <v>1</v>
      </c>
      <c r="D17" s="51" t="n">
        <v>1.5</v>
      </c>
      <c r="E17" s="52">
        <f>C17*D17</f>
        <v/>
      </c>
      <c r="F17" s="53" t="inlineStr">
        <is>
          <t>Future</t>
        </is>
      </c>
      <c r="G17" s="54" t="inlineStr">
        <is>
          <t>DigiKey</t>
        </is>
      </c>
      <c r="H17" s="55" t="inlineStr">
        <is>
          <t>Search</t>
        </is>
      </c>
      <c r="I17" s="49" t="inlineStr">
        <is>
          <t>Its RESET drives the ESP32 EN and the MCP23017 RESET: if the firmware stops, every output turns off</t>
        </is>
      </c>
    </row>
    <row r="18">
      <c r="A18" s="49" t="inlineStr">
        <is>
          <t>State-sense optos</t>
        </is>
      </c>
      <c r="B18" s="49" t="inlineStr">
        <is>
          <t>H11AA1</t>
        </is>
      </c>
      <c r="C18" s="50" t="n">
        <v>5</v>
      </c>
      <c r="D18" s="51" t="n">
        <v>0.8</v>
      </c>
      <c r="E18" s="52">
        <f>C18*D18</f>
        <v/>
      </c>
      <c r="F18" s="53" t="inlineStr">
        <is>
          <t>Future</t>
        </is>
      </c>
      <c r="G18" s="54" t="inlineStr">
        <is>
          <t>DigiKey</t>
        </is>
      </c>
      <c r="H18" s="55" t="inlineStr">
        <is>
          <t>Search</t>
        </is>
      </c>
      <c r="I18" s="49" t="inlineStr">
        <is>
          <t>Read back what the equipment actually gets (Y, Y2, W, G, O/B)</t>
        </is>
      </c>
    </row>
    <row r="19">
      <c r="A19" s="49" t="inlineStr">
        <is>
          <t>Opto series resistor</t>
        </is>
      </c>
      <c r="B19" s="49" t="inlineStr">
        <is>
          <t>4.7k ½ W</t>
        </is>
      </c>
      <c r="C19" s="50" t="n">
        <v>5</v>
      </c>
      <c r="D19" s="51" t="n">
        <v>0.1</v>
      </c>
      <c r="E19" s="52">
        <f>C19*D19</f>
        <v/>
      </c>
      <c r="F19" s="53" t="inlineStr">
        <is>
          <t>Future</t>
        </is>
      </c>
      <c r="G19" s="54" t="inlineStr">
        <is>
          <t>DigiKey</t>
        </is>
      </c>
      <c r="H19" s="55" t="inlineStr">
        <is>
          <t>Search</t>
        </is>
      </c>
      <c r="I19" s="49" t="inlineStr">
        <is>
          <t>One per state-sense input</t>
        </is>
      </c>
    </row>
    <row r="20">
      <c r="A20" s="49" t="inlineStr">
        <is>
          <t>Opto pull-up resistor</t>
        </is>
      </c>
      <c r="B20" s="49" t="inlineStr">
        <is>
          <t>10k ¼ W</t>
        </is>
      </c>
      <c r="C20" s="50" t="n">
        <v>5</v>
      </c>
      <c r="D20" s="51" t="n">
        <v>0.05</v>
      </c>
      <c r="E20" s="52">
        <f>C20*D20</f>
        <v/>
      </c>
      <c r="F20" s="53" t="inlineStr">
        <is>
          <t>Future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One per opto output</t>
        </is>
      </c>
    </row>
    <row r="21">
      <c r="A21" s="49" t="inlineStr">
        <is>
          <t>Room temp/humidity (control)</t>
        </is>
      </c>
      <c r="B21" s="49" t="inlineStr">
        <is>
          <t>SHT45 on a thermally isolated tab / short flex cable</t>
        </is>
      </c>
      <c r="C21" s="50" t="n">
        <v>1</v>
      </c>
      <c r="D21" s="51" t="n">
        <v>15</v>
      </c>
      <c r="E21" s="52">
        <f>C21*D21</f>
        <v/>
      </c>
      <c r="F21" s="53" t="inlineStr">
        <is>
          <t>Future</t>
        </is>
      </c>
      <c r="G21" s="54" t="inlineStr">
        <is>
          <t>Amazon</t>
        </is>
      </c>
      <c r="H21" s="55" t="inlineStr">
        <is>
          <t>Search</t>
        </is>
      </c>
      <c r="I21" s="49" t="inlineStr">
        <is>
          <t>Controls the house: keep it away from the display and regulator heat</t>
        </is>
      </c>
    </row>
    <row r="22">
      <c r="A22" s="49" t="inlineStr">
        <is>
          <t>Wiring terminal block</t>
        </is>
      </c>
      <c r="B22" s="49" t="inlineStr">
        <is>
          <t>8-pos pluggable 5.08 mm (R, C, Y, Y2, W, W2, G, O/B)</t>
        </is>
      </c>
      <c r="C22" s="50" t="n">
        <v>1</v>
      </c>
      <c r="D22" s="51" t="n">
        <v>3</v>
      </c>
      <c r="E22" s="52">
        <f>C22*D22</f>
        <v/>
      </c>
      <c r="F22" s="53" t="inlineStr">
        <is>
          <t>Future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Labelled like a standard thermostat sub-base</t>
        </is>
      </c>
    </row>
    <row r="23">
      <c r="A23" s="49" t="inlineStr">
        <is>
          <t>Output carrier PCB</t>
        </is>
      </c>
      <c r="B23" s="49" t="inlineStr">
        <is>
          <t>Small 2-layer board for the switches, optos and terminals (JLCPCB, 5 pcs)</t>
        </is>
      </c>
      <c r="C23" s="50" t="n">
        <v>1</v>
      </c>
      <c r="D23" s="51" t="n">
        <v>20</v>
      </c>
      <c r="E23" s="52">
        <f>C23*D23</f>
        <v/>
      </c>
      <c r="F23" s="53" t="inlineStr">
        <is>
          <t>Future</t>
        </is>
      </c>
      <c r="G23" s="54" t="inlineStr">
        <is>
          <t>JLCPCB</t>
        </is>
      </c>
      <c r="H23" s="55" t="inlineStr">
        <is>
          <t>Search</t>
        </is>
      </c>
      <c r="I23" s="49" t="inlineStr">
        <is>
          <t>Mounts behind the display board; I²C + 5 V from the power kit</t>
        </is>
      </c>
    </row>
    <row r="24">
      <c r="A24" s="49" t="inlineStr">
        <is>
          <t>Connectors &amp; jumpers</t>
        </is>
      </c>
      <c r="B24" s="49" t="inlineStr">
        <is>
          <t>JST-SH / Dupont jumper set</t>
        </is>
      </c>
      <c r="C24" s="50" t="n">
        <v>1</v>
      </c>
      <c r="D24" s="51" t="n">
        <v>6</v>
      </c>
      <c r="E24" s="52">
        <f>C24*D24</f>
        <v/>
      </c>
      <c r="F24" s="53" t="inlineStr">
        <is>
          <t>Future</t>
        </is>
      </c>
      <c r="G24" s="54" t="inlineStr">
        <is>
          <t>Amazon</t>
        </is>
      </c>
      <c r="H24" s="55" t="inlineStr">
        <is>
          <t>Search</t>
        </is>
      </c>
      <c r="I24" s="49" t="inlineStr">
        <is>
          <t>Display board to output carrier</t>
        </is>
      </c>
    </row>
    <row r="25">
      <c r="A25" s="49" t="inlineStr">
        <is>
          <t>Wall back plate</t>
        </is>
      </c>
      <c r="B25" s="49" t="inlineStr">
        <is>
          <t>3D-printed back plate with wire opening + screws/anchors</t>
        </is>
      </c>
      <c r="C25" s="50" t="n">
        <v>1</v>
      </c>
      <c r="D25" s="51" t="n">
        <v>8</v>
      </c>
      <c r="E25" s="52">
        <f>C25*D25</f>
        <v/>
      </c>
      <c r="F25" s="53" t="inlineStr">
        <is>
          <t>Future</t>
        </is>
      </c>
      <c r="G25" s="54" t="inlineStr">
        <is>
          <t>3D print / Amazon</t>
        </is>
      </c>
      <c r="H25" s="55" t="n"/>
      <c r="I25" s="49" t="inlineStr">
        <is>
          <t>Replaces the old thermostat's sub-base</t>
        </is>
      </c>
    </row>
    <row r="27">
      <c r="D27" s="51" t="inlineStr">
        <is>
          <t>Total</t>
        </is>
      </c>
      <c r="E27" s="52">
        <f>SUM(E5:E25)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8" display="Search" r:id="rId2"/>
    <hyperlink xmlns:r="http://schemas.openxmlformats.org/officeDocument/2006/relationships" ref="H10" display="Search" r:id="rId3"/>
    <hyperlink xmlns:r="http://schemas.openxmlformats.org/officeDocument/2006/relationships" ref="H11" display="Search" r:id="rId4"/>
    <hyperlink xmlns:r="http://schemas.openxmlformats.org/officeDocument/2006/relationships" ref="H13" r:id="rId5"/>
    <hyperlink xmlns:r="http://schemas.openxmlformats.org/officeDocument/2006/relationships" ref="H14" r:id="rId6"/>
    <hyperlink xmlns:r="http://schemas.openxmlformats.org/officeDocument/2006/relationships" ref="H15" r:id="rId7"/>
    <hyperlink xmlns:r="http://schemas.openxmlformats.org/officeDocument/2006/relationships" ref="H16" r:id="rId8"/>
    <hyperlink xmlns:r="http://schemas.openxmlformats.org/officeDocument/2006/relationships" ref="H17" r:id="rId9"/>
    <hyperlink xmlns:r="http://schemas.openxmlformats.org/officeDocument/2006/relationships" ref="H18" r:id="rId10"/>
    <hyperlink xmlns:r="http://schemas.openxmlformats.org/officeDocument/2006/relationships" ref="H19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2" r:id="rId14"/>
    <hyperlink xmlns:r="http://schemas.openxmlformats.org/officeDocument/2006/relationships" ref="H23" r:id="rId15"/>
    <hyperlink xmlns:r="http://schemas.openxmlformats.org/officeDocument/2006/relationships" ref="H24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7" min="1" max="1"/>
    <col width="40" customWidth="1" style="27" min="2" max="2"/>
    <col width="6" customWidth="1" style="27" min="3" max="3"/>
    <col width="14" customWidth="1" style="27" min="4" max="4"/>
    <col width="13" customWidth="1" style="27" min="5" max="5"/>
    <col width="10" customWidth="1" style="27" min="6" max="6"/>
    <col width="16" customWidth="1" style="27" min="7" max="7"/>
    <col width="14" customWidth="1" style="27" min="8" max="8"/>
    <col width="48" customWidth="1" style="27" min="9" max="9"/>
  </cols>
  <sheetData>
    <row r="1">
      <c r="A1" s="56" t="inlineStr">
        <is>
          <t>LoRa Radio (900 MHz) — Parts List</t>
        </is>
      </c>
    </row>
    <row r="2">
      <c r="A2" s="57" t="inlineStr">
        <is>
          <t>Blue = editable estimate. Prices are approximate single-unit retail (Oct 2026); links are supplier search pages.</t>
        </is>
      </c>
    </row>
    <row r="3">
      <c r="A3" s="57" t="inlineStr">
        <is>
          <t>From radio/README.md (branch radio/lora-design): one fixed 500 kHz channel in 902–928 MHz, SX1262 radios, gateway built into the thermostat or a plug-in unit.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>
      <c r="A5" s="47" t="inlineStr">
        <is>
          <t>Range test (do first: decides LoRa vs WiFi)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>
      <c r="A6" s="49" t="inlineStr">
        <is>
          <t>LoRa dev board</t>
        </is>
      </c>
      <c r="B6" s="49" t="inlineStr">
        <is>
          <t>Heltec WiFi LoRa 32 V3, 915 MHz version (ESP32-S3 + SX1262, OLED)</t>
        </is>
      </c>
      <c r="C6" s="50" t="n">
        <v>2</v>
      </c>
      <c r="D6" s="51" t="n">
        <v>22</v>
      </c>
      <c r="E6" s="52">
        <f>C6*D6</f>
        <v/>
      </c>
      <c r="F6" s="59" t="inlineStr">
        <is>
          <t>LoRa</t>
        </is>
      </c>
      <c r="G6" s="54" t="inlineStr">
        <is>
          <t>Heltec</t>
        </is>
      </c>
      <c r="H6" s="55" t="inlineStr">
        <is>
          <t>Search</t>
        </is>
      </c>
      <c r="I6" s="49" t="inlineStr">
        <is>
          <t>Sender + receiver for the range test (radio/rangetest firmware)</t>
        </is>
      </c>
    </row>
    <row r="7">
      <c r="A7" s="49" t="inlineStr">
        <is>
          <t>Antenna</t>
        </is>
      </c>
      <c r="B7" s="49" t="inlineStr">
        <is>
          <t>915 MHz 3 dBi, SMA, with u.FL-to-SMA pigtail</t>
        </is>
      </c>
      <c r="C7" s="50" t="n">
        <v>2</v>
      </c>
      <c r="D7" s="51" t="n">
        <v>8</v>
      </c>
      <c r="E7" s="52">
        <f>C7*D7</f>
        <v/>
      </c>
      <c r="F7" s="59" t="inlineStr">
        <is>
          <t>LoRa</t>
        </is>
      </c>
      <c r="G7" s="54" t="inlineStr">
        <is>
          <t>Amazon</t>
        </is>
      </c>
      <c r="H7" s="55" t="inlineStr">
        <is>
          <t>Search</t>
        </is>
      </c>
      <c r="I7" s="49" t="inlineStr">
        <is>
          <t>Must be 915 MHz, not 868</t>
        </is>
      </c>
    </row>
    <row r="8">
      <c r="A8" s="49" t="inlineStr">
        <is>
          <t>USB power bank</t>
        </is>
      </c>
      <c r="B8" s="49" t="inlineStr">
        <is>
          <t>Any, USB-C</t>
        </is>
      </c>
      <c r="C8" s="50" t="n">
        <v>1</v>
      </c>
      <c r="D8" s="51" t="n">
        <v>20</v>
      </c>
      <c r="E8" s="52">
        <f>C8*D8</f>
        <v/>
      </c>
      <c r="F8" s="60" t="inlineStr">
        <is>
          <t>Optional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Powers the sender on the walk-around. Skip if owned</t>
        </is>
      </c>
    </row>
    <row r="9">
      <c r="A9" s="47" t="inlineStr">
        <is>
          <t>Node radios (outdoor + indoor)</t>
        </is>
      </c>
      <c r="B9" s="48" t="n"/>
      <c r="C9" s="48" t="n"/>
      <c r="D9" s="48" t="n"/>
      <c r="E9" s="48" t="n"/>
      <c r="F9" s="48" t="n"/>
      <c r="G9" s="48" t="n"/>
      <c r="H9" s="48" t="n"/>
      <c r="I9" s="48" t="n"/>
    </row>
    <row r="10">
      <c r="A10" s="49" t="inlineStr">
        <is>
          <t>LoRa radio module</t>
        </is>
      </c>
      <c r="B10" s="49" t="inlineStr">
        <is>
          <t>Seeed Wio-SX1262 (SX1262, FCC modular approval Z4T-WIO-SX1262)</t>
        </is>
      </c>
      <c r="C10" s="50" t="n">
        <v>2</v>
      </c>
      <c r="D10" s="51" t="n">
        <v>9</v>
      </c>
      <c r="E10" s="52">
        <f>C10*D10</f>
        <v/>
      </c>
      <c r="F10" s="59" t="inlineStr">
        <is>
          <t>LoRa</t>
        </is>
      </c>
      <c r="G10" s="54" t="inlineStr">
        <is>
          <t>Seeed</t>
        </is>
      </c>
      <c r="H10" s="55" t="inlineStr">
        <is>
          <t>Search</t>
        </is>
      </c>
      <c r="I10" s="49" t="inlineStr">
        <is>
          <t>On SPI of each node's ESP32; solder to carrier rev B or a breakout</t>
        </is>
      </c>
    </row>
    <row r="11">
      <c r="A11" s="49" t="inlineStr">
        <is>
          <t>Module breakout</t>
        </is>
      </c>
      <c r="B11" s="49" t="inlineStr">
        <is>
          <t>Castellated-module breakout / adapter board</t>
        </is>
      </c>
      <c r="C11" s="50" t="n">
        <v>2</v>
      </c>
      <c r="D11" s="51" t="n">
        <v>3</v>
      </c>
      <c r="E11" s="52">
        <f>C11*D11</f>
        <v/>
      </c>
      <c r="F11" s="59" t="inlineStr">
        <is>
          <t>LoRa</t>
        </is>
      </c>
      <c r="G11" s="54" t="inlineStr">
        <is>
          <t>Amazon</t>
        </is>
      </c>
      <c r="H11" s="55" t="inlineStr">
        <is>
          <t>Search</t>
        </is>
      </c>
      <c r="I11" s="49" t="inlineStr">
        <is>
          <t>Until the carrier boards get a LoRa footprint</t>
        </is>
      </c>
    </row>
    <row r="12">
      <c r="A12" s="49" t="inlineStr">
        <is>
          <t>Antenna (outside the cabinet)</t>
        </is>
      </c>
      <c r="B12" s="49" t="inlineStr">
        <is>
          <t>915 MHz 3 dBi, outdoor-rated, SMA bulkhead</t>
        </is>
      </c>
      <c r="C12" s="50" t="n">
        <v>2</v>
      </c>
      <c r="D12" s="51" t="n">
        <v>12</v>
      </c>
      <c r="E12" s="52">
        <f>C12*D12</f>
        <v/>
      </c>
      <c r="F12" s="59" t="inlineStr">
        <is>
          <t>LoRa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Sheet-metal cabinets block the signal: mount outside, as with the WiFi antenna</t>
        </is>
      </c>
    </row>
    <row r="13">
      <c r="A13" s="49" t="inlineStr">
        <is>
          <t>RF pigtail</t>
        </is>
      </c>
      <c r="B13" s="49" t="inlineStr">
        <is>
          <t>u.FL (IPEX) to SMA bulkhead, 15 cm</t>
        </is>
      </c>
      <c r="C13" s="50" t="n">
        <v>2</v>
      </c>
      <c r="D13" s="51" t="n">
        <v>4</v>
      </c>
      <c r="E13" s="52">
        <f>C13*D13</f>
        <v/>
      </c>
      <c r="F13" s="59" t="inlineStr">
        <is>
          <t>LoRa</t>
        </is>
      </c>
      <c r="G13" s="54" t="inlineStr">
        <is>
          <t>Amazon</t>
        </is>
      </c>
      <c r="H13" s="55" t="inlineStr">
        <is>
          <t>Search</t>
        </is>
      </c>
      <c r="I13" s="49" t="n"/>
    </row>
    <row r="14">
      <c r="A14" s="49" t="inlineStr">
        <is>
          <t>Coax extension</t>
        </is>
      </c>
      <c r="B14" s="49" t="inlineStr">
        <is>
          <t>RG316 SMA male–female, 1 m</t>
        </is>
      </c>
      <c r="C14" s="50" t="n">
        <v>2</v>
      </c>
      <c r="D14" s="51" t="n">
        <v>6</v>
      </c>
      <c r="E14" s="52">
        <f>C14*D14</f>
        <v/>
      </c>
      <c r="F14" s="60" t="inlineStr">
        <is>
          <t>Optional</t>
        </is>
      </c>
      <c r="G14" s="54" t="inlineStr">
        <is>
          <t>Amazon</t>
        </is>
      </c>
      <c r="H14" s="55" t="inlineStr">
        <is>
          <t>Search</t>
        </is>
      </c>
      <c r="I14" s="49" t="inlineStr">
        <is>
          <t>Only if the antenna can't sit at the enclosure</t>
        </is>
      </c>
    </row>
    <row r="15">
      <c r="A15" s="47" t="inlineStr">
        <is>
          <t>Gateway</t>
        </is>
      </c>
      <c r="B15" s="48" t="n"/>
      <c r="C15" s="48" t="n"/>
      <c r="D15" s="48" t="n"/>
      <c r="E15" s="48" t="n"/>
      <c r="F15" s="48" t="n"/>
      <c r="G15" s="48" t="n"/>
      <c r="H15" s="48" t="n"/>
      <c r="I15" s="48" t="n"/>
    </row>
    <row r="16">
      <c r="A16" s="49" t="inlineStr">
        <is>
          <t>Thermostat built-in gateway</t>
        </is>
      </c>
      <c r="B16" s="49" t="inlineStr">
        <is>
          <t>Seeed Wio-SX1262 on the display board's SPI</t>
        </is>
      </c>
      <c r="C16" s="50" t="n">
        <v>1</v>
      </c>
      <c r="D16" s="51" t="n">
        <v>9</v>
      </c>
      <c r="E16" s="52">
        <f>C16*D16</f>
        <v/>
      </c>
      <c r="F16" s="59" t="inlineStr">
        <is>
          <t>LoRa</t>
        </is>
      </c>
      <c r="G16" s="54" t="inlineStr">
        <is>
          <t>Seeed</t>
        </is>
      </c>
      <c r="H16" s="55" t="inlineStr">
        <is>
          <t>Search</t>
        </is>
      </c>
      <c r="I16" s="49" t="inlineStr">
        <is>
          <t>Confirm free SPI + 3 GPIO on the Waveshare 4.3" board; otherwise use the plug-in gateway</t>
        </is>
      </c>
    </row>
    <row r="17">
      <c r="A17" s="49" t="inlineStr">
        <is>
          <t>Gateway antenna</t>
        </is>
      </c>
      <c r="B17" s="49" t="inlineStr">
        <is>
          <t>915 MHz 2–3 dBi, small SMA or internal flex</t>
        </is>
      </c>
      <c r="C17" s="50" t="n">
        <v>1</v>
      </c>
      <c r="D17" s="51" t="n">
        <v>6</v>
      </c>
      <c r="E17" s="52">
        <f>C17*D17</f>
        <v/>
      </c>
      <c r="F17" s="59" t="inlineStr">
        <is>
          <t>LoRa</t>
        </is>
      </c>
      <c r="G17" s="54" t="inlineStr">
        <is>
          <t>Amazon</t>
        </is>
      </c>
      <c r="H17" s="55" t="inlineStr">
        <is>
          <t>Search</t>
        </is>
      </c>
      <c r="I17" s="49" t="inlineStr">
        <is>
          <t>Inside the thermostat housing</t>
        </is>
      </c>
    </row>
    <row r="18">
      <c r="A18" s="49" t="inlineStr">
        <is>
          <t>Plug-in gateway (no thermostat)</t>
        </is>
      </c>
      <c r="B18" s="49" t="inlineStr">
        <is>
          <t>Heltec WiFi LoRa 32 V3, 915 MHz</t>
        </is>
      </c>
      <c r="C18" s="50" t="n">
        <v>1</v>
      </c>
      <c r="D18" s="51" t="n">
        <v>22</v>
      </c>
      <c r="E18" s="52">
        <f>C18*D18</f>
        <v/>
      </c>
      <c r="F18" s="60" t="inlineStr">
        <is>
          <t>Optional</t>
        </is>
      </c>
      <c r="G18" s="54" t="inlineStr">
        <is>
          <t>Heltec</t>
        </is>
      </c>
      <c r="H18" s="55" t="inlineStr">
        <is>
          <t>Search</t>
        </is>
      </c>
      <c r="I18" s="49" t="inlineStr">
        <is>
          <t>For homes that keep their own thermostat; the range-test receiver can become this</t>
        </is>
      </c>
    </row>
    <row r="19">
      <c r="A19" s="49" t="inlineStr">
        <is>
          <t>Gateway power</t>
        </is>
      </c>
      <c r="B19" s="49" t="inlineStr">
        <is>
          <t>USB-C 5 V 1 A wall adapter</t>
        </is>
      </c>
      <c r="C19" s="50" t="n">
        <v>1</v>
      </c>
      <c r="D19" s="51" t="n">
        <v>8</v>
      </c>
      <c r="E19" s="52">
        <f>C19*D19</f>
        <v/>
      </c>
      <c r="F19" s="60" t="inlineStr">
        <is>
          <t>Optional</t>
        </is>
      </c>
      <c r="G19" s="54" t="inlineStr">
        <is>
          <t>Amazon</t>
        </is>
      </c>
      <c r="H19" s="55" t="inlineStr">
        <is>
          <t>Search</t>
        </is>
      </c>
      <c r="I19" s="49" t="n"/>
    </row>
    <row r="20">
      <c r="A20" s="49" t="inlineStr">
        <is>
          <t>Gateway enclosure</t>
        </is>
      </c>
      <c r="B20" s="49" t="inlineStr">
        <is>
          <t>Small ABS box or 3D-printed case</t>
        </is>
      </c>
      <c r="C20" s="50" t="n">
        <v>1</v>
      </c>
      <c r="D20" s="51" t="n">
        <v>8</v>
      </c>
      <c r="E20" s="52">
        <f>C20*D20</f>
        <v/>
      </c>
      <c r="F20" s="60" t="inlineStr">
        <is>
          <t>Optional</t>
        </is>
      </c>
      <c r="G20" s="54" t="inlineStr">
        <is>
          <t>Amazon</t>
        </is>
      </c>
      <c r="H20" s="55" t="inlineStr">
        <is>
          <t>Search</t>
        </is>
      </c>
      <c r="I20" s="49" t="n"/>
    </row>
    <row r="21">
      <c r="A21" s="47" t="inlineStr">
        <is>
          <t>Production modules (for reference; qty 0 = not in the totals)</t>
        </is>
      </c>
      <c r="B21" s="48" t="n"/>
      <c r="C21" s="48" t="n"/>
      <c r="D21" s="48" t="n"/>
      <c r="E21" s="48" t="n"/>
      <c r="F21" s="48" t="n"/>
      <c r="G21" s="48" t="n"/>
      <c r="H21" s="48" t="n"/>
      <c r="I21" s="48" t="n"/>
    </row>
    <row r="22">
      <c r="A22" s="49" t="inlineStr">
        <is>
          <t>All-in-one node module</t>
        </is>
      </c>
      <c r="B22" s="49" t="inlineStr">
        <is>
          <t>Heltec HT-CT62 (ESP32-C3 + SX1262), FCC 2A2GJ-HT-CT62</t>
        </is>
      </c>
      <c r="C22" s="50" t="n">
        <v>0</v>
      </c>
      <c r="D22" s="51" t="n">
        <v>7</v>
      </c>
      <c r="E22" s="52">
        <f>C22*D22</f>
        <v/>
      </c>
      <c r="F22" s="53" t="inlineStr">
        <is>
          <t>Future</t>
        </is>
      </c>
      <c r="G22" s="54" t="inlineStr">
        <is>
          <t>Heltec</t>
        </is>
      </c>
      <c r="H22" s="55" t="inlineStr">
        <is>
          <t>Search</t>
        </is>
      </c>
      <c r="I22" s="49" t="inlineStr">
        <is>
          <t>Replaces ESP32 + radio on a custom board</t>
        </is>
      </c>
    </row>
    <row r="23">
      <c r="A23" s="49" t="inlineStr">
        <is>
          <t>MCU + radio module</t>
        </is>
      </c>
      <c r="B23" s="49" t="inlineStr">
        <is>
          <t>RAKwireless RAK3172 (STM32WL), FCC 2AF6B-RAK3172</t>
        </is>
      </c>
      <c r="C23" s="50" t="n">
        <v>0</v>
      </c>
      <c r="D23" s="51" t="n">
        <v>9</v>
      </c>
      <c r="E23" s="52">
        <f>C23*D23</f>
        <v/>
      </c>
      <c r="F23" s="53" t="inlineStr">
        <is>
          <t>Future</t>
        </is>
      </c>
      <c r="G23" s="54" t="inlineStr">
        <is>
          <t>RAKwireless</t>
        </is>
      </c>
      <c r="H23" s="55" t="inlineStr">
        <is>
          <t>Search</t>
        </is>
      </c>
      <c r="I23" s="49" t="inlineStr">
        <is>
          <t>Alternative</t>
        </is>
      </c>
    </row>
    <row r="25">
      <c r="D25" s="51" t="inlineStr">
        <is>
          <t>Total</t>
        </is>
      </c>
      <c r="E25" s="52">
        <f>SUM(E5:E23)</f>
        <v/>
      </c>
    </row>
    <row r="27">
      <c r="A27" s="57" t="inlineStr">
        <is>
          <t>• Before buying production modules, confirm each module's FCC grant covers 500 kHz DTS operation at the power used, and its approved antennas.</t>
        </is>
      </c>
    </row>
    <row r="28">
      <c r="A28" s="57" t="inlineStr">
        <is>
          <t>• The WiFi antennas on the outdoor/indoor sheets stay: nodes keep WiFi-direct mode when there is no gateway.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6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H22" r:id="rId14"/>
    <hyperlink xmlns:r="http://schemas.openxmlformats.org/officeDocument/2006/relationships" ref="H23" r:id="rId15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Infrastructure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Prototype infrastructure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26.85" customHeight="1" s="27">
      <c r="A6" s="49" t="inlineStr">
        <is>
          <t>Home Assistant server</t>
        </is>
      </c>
      <c r="B6" s="49" t="inlineStr">
        <is>
          <t>Home Assistant Green (or Raspberry Pi 5 4 GB)</t>
        </is>
      </c>
      <c r="C6" s="50" t="n">
        <v>1</v>
      </c>
      <c r="D6" s="51" t="n">
        <v>129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Runs HA + ESPHome</t>
        </is>
      </c>
    </row>
    <row r="7" ht="15" customHeight="1" s="27">
      <c r="A7" s="49" t="inlineStr">
        <is>
          <t>Bench transformer</t>
        </is>
      </c>
      <c r="B7" s="49" t="inlineStr">
        <is>
          <t>24 VAC 40 VA</t>
        </is>
      </c>
      <c r="C7" s="50" t="n">
        <v>1</v>
      </c>
      <c r="D7" s="51" t="n">
        <v>15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Breadboard kit</t>
        </is>
      </c>
      <c r="B8" s="49" t="inlineStr">
        <is>
          <t>Breadboards + jumper wires</t>
        </is>
      </c>
      <c r="C8" s="50" t="n">
        <v>1</v>
      </c>
      <c r="D8" s="51" t="n">
        <v>20</v>
      </c>
      <c r="E8" s="52">
        <f>C8*D8</f>
        <v/>
      </c>
      <c r="F8" s="39" t="inlineStr">
        <is>
          <t>V1</t>
        </is>
      </c>
      <c r="G8" s="54" t="inlineStr">
        <is>
          <t>Amazon</t>
        </is>
      </c>
      <c r="H8" s="55" t="inlineStr">
        <is>
          <t>Search</t>
        </is>
      </c>
      <c r="I8" s="49" t="n"/>
    </row>
    <row r="9" ht="15" customHeight="1" s="27">
      <c r="A9" s="49" t="inlineStr">
        <is>
          <t>USB cables</t>
        </is>
      </c>
      <c r="B9" s="49" t="inlineStr">
        <is>
          <t>USB-C / micro-USB assortment</t>
        </is>
      </c>
      <c r="C9" s="50" t="n">
        <v>1</v>
      </c>
      <c r="D9" s="51" t="n">
        <v>10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n"/>
    </row>
    <row r="10" ht="15" customHeight="1" s="27">
      <c r="A10" s="49" t="inlineStr">
        <is>
          <t>Heat shrink</t>
        </is>
      </c>
      <c r="B10" s="49" t="inlineStr">
        <is>
          <t>Assortment</t>
        </is>
      </c>
      <c r="C10" s="50" t="n">
        <v>1</v>
      </c>
      <c r="D10" s="51" t="n">
        <v>10</v>
      </c>
      <c r="E10" s="52">
        <f>C10*D10</f>
        <v/>
      </c>
      <c r="F10" s="39" t="inlineStr">
        <is>
          <t>V1</t>
        </is>
      </c>
      <c r="G10" s="54" t="inlineStr">
        <is>
          <t>Amazon</t>
        </is>
      </c>
      <c r="H10" s="55" t="inlineStr">
        <is>
          <t>Search</t>
        </is>
      </c>
      <c r="I10" s="49" t="n"/>
    </row>
    <row r="11" ht="15" customHeight="1" s="27">
      <c r="A11" s="49" t="inlineStr">
        <is>
          <t>Multimeter</t>
        </is>
      </c>
      <c r="B11" s="49" t="inlineStr">
        <is>
          <t>True RMS</t>
        </is>
      </c>
      <c r="C11" s="50" t="n">
        <v>1</v>
      </c>
      <c r="D11" s="51" t="n">
        <v>40</v>
      </c>
      <c r="E11" s="52">
        <f>C11*D11</f>
        <v/>
      </c>
      <c r="F11" s="45" t="inlineStr">
        <is>
          <t>Optional</t>
        </is>
      </c>
      <c r="G11" s="54" t="inlineStr">
        <is>
          <t>Amazon</t>
        </is>
      </c>
      <c r="H11" s="55" t="inlineStr">
        <is>
          <t>Search</t>
        </is>
      </c>
      <c r="I11" s="49" t="inlineStr">
        <is>
          <t>Skip if owned</t>
        </is>
      </c>
    </row>
    <row r="12" ht="15" customHeight="1" s="27">
      <c r="A12" s="49" t="inlineStr">
        <is>
          <t>Soldering station</t>
        </is>
      </c>
      <c r="B12" s="49" t="inlineStr">
        <is>
          <t>Temp-controlled</t>
        </is>
      </c>
      <c r="C12" s="50" t="n">
        <v>1</v>
      </c>
      <c r="D12" s="51" t="n">
        <v>60</v>
      </c>
      <c r="E12" s="52">
        <f>C12*D12</f>
        <v/>
      </c>
      <c r="F12" s="45" t="inlineStr">
        <is>
          <t>Optional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Skip if owned</t>
        </is>
      </c>
    </row>
    <row r="13" ht="15" customHeight="1" s="27">
      <c r="A13" s="49" t="inlineStr">
        <is>
          <t>Reference gauge</t>
        </is>
      </c>
      <c r="B13" s="49" t="inlineStr">
        <is>
          <t>Digital manifold / probes</t>
        </is>
      </c>
      <c r="C13" s="50" t="n">
        <v>1</v>
      </c>
      <c r="D13" s="51" t="n">
        <v>0</v>
      </c>
      <c r="E13" s="52">
        <f>C13*D13</f>
        <v/>
      </c>
      <c r="F13" s="39" t="inlineStr">
        <is>
          <t>V1</t>
        </is>
      </c>
      <c r="G13" s="54" t="inlineStr">
        <is>
          <t>Owned</t>
        </is>
      </c>
      <c r="H13" s="54" t="n"/>
      <c r="I13" s="49" t="inlineStr">
        <is>
          <t>Existing Fieldpiece probes for calibration</t>
        </is>
      </c>
    </row>
    <row r="15" ht="15" customHeight="1" s="27">
      <c r="D15" s="42" t="inlineStr">
        <is>
          <t>Total</t>
        </is>
      </c>
      <c r="E15" s="43">
        <f>SUM(E5:E13)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8" display="Search" r:id="rId3"/>
    <hyperlink xmlns:r="http://schemas.openxmlformats.org/officeDocument/2006/relationships" ref="H9" display="Search" r:id="rId4"/>
    <hyperlink xmlns:r="http://schemas.openxmlformats.org/officeDocument/2006/relationships" ref="H10" display="Search" r:id="rId5"/>
    <hyperlink xmlns:r="http://schemas.openxmlformats.org/officeDocument/2006/relationships" ref="H11" display="Search" r:id="rId6"/>
    <hyperlink xmlns:r="http://schemas.openxmlformats.org/officeDocument/2006/relationships" ref="H12" display="Search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2026-09-23T14:52:39Z</dcterms:created>
  <dcterms:modified xsi:type="dcterms:W3CDTF">2026-10-18T05:49:16Z</dcterms:modified>
  <cp:revision>0</cp:revision>
</cp:coreProperties>
</file>